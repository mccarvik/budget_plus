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spartanwealth.com/Desktop/"/>
    </mc:Choice>
  </mc:AlternateContent>
  <xr:revisionPtr revIDLastSave="0" documentId="13_ncr:1_{DA686D19-C162-764A-8A33-62BD869CF143}" xr6:coauthVersionLast="47" xr6:coauthVersionMax="47" xr10:uidLastSave="{00000000-0000-0000-0000-000000000000}"/>
  <bookViews>
    <workbookView xWindow="-38400" yWindow="0" windowWidth="38400" windowHeight="21600" xr2:uid="{8B940AB0-28E0-CB4F-8F54-F262F79E2693}"/>
  </bookViews>
  <sheets>
    <sheet name="Template" sheetId="1" r:id="rId1"/>
    <sheet name="Maximiz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1" l="1"/>
  <c r="E54" i="2"/>
  <c r="E55" i="2" s="1"/>
  <c r="D18" i="2"/>
  <c r="F24" i="2" s="1"/>
  <c r="M27" i="1"/>
  <c r="U49" i="1"/>
  <c r="E67" i="1" s="1"/>
  <c r="S49" i="1"/>
  <c r="E66" i="1" s="1"/>
  <c r="I37" i="1" s="1"/>
  <c r="I38" i="1" s="1"/>
  <c r="E89" i="1"/>
  <c r="I75" i="1"/>
  <c r="I36" i="1"/>
  <c r="H12" i="1"/>
  <c r="E31" i="1"/>
  <c r="E19" i="1"/>
  <c r="E7" i="1"/>
  <c r="K72" i="1"/>
  <c r="K73" i="1"/>
  <c r="K74" i="1"/>
  <c r="H60" i="1"/>
  <c r="H59" i="1"/>
  <c r="H48" i="1"/>
  <c r="H47" i="1"/>
  <c r="E63" i="1"/>
  <c r="K71" i="1"/>
  <c r="I76" i="1" s="1"/>
  <c r="E43" i="1"/>
  <c r="M28" i="1"/>
  <c r="H13" i="1"/>
  <c r="M17" i="1"/>
  <c r="M16" i="1"/>
  <c r="M15" i="1"/>
  <c r="C60" i="1"/>
  <c r="C59" i="1"/>
  <c r="C57" i="1"/>
  <c r="C56" i="1"/>
  <c r="C55" i="1"/>
  <c r="C54" i="1"/>
  <c r="C61" i="1"/>
  <c r="I23" i="1"/>
  <c r="M26" i="1"/>
  <c r="M25" i="1"/>
  <c r="O25" i="1" s="1"/>
  <c r="M24" i="1"/>
  <c r="M23" i="1"/>
  <c r="L22" i="1"/>
  <c r="M22" i="1"/>
  <c r="O22" i="1" s="1"/>
  <c r="E64" i="1" l="1"/>
  <c r="F64" i="1" s="1"/>
  <c r="O23" i="1"/>
  <c r="E34" i="2"/>
  <c r="D24" i="2"/>
  <c r="E38" i="2"/>
  <c r="E36" i="2"/>
  <c r="E27" i="2"/>
  <c r="I32" i="1"/>
  <c r="I33" i="1" s="1"/>
  <c r="H41" i="1" s="1"/>
  <c r="E70" i="1"/>
  <c r="E49" i="1"/>
  <c r="E11" i="1"/>
  <c r="M29" i="1"/>
  <c r="M58" i="1"/>
  <c r="M57" i="1"/>
  <c r="C7" i="1"/>
  <c r="C3" i="1"/>
  <c r="O24" i="1"/>
  <c r="C42" i="1"/>
  <c r="C41" i="1"/>
  <c r="C40" i="1"/>
  <c r="C10" i="1"/>
  <c r="C4" i="1"/>
  <c r="C36" i="1"/>
  <c r="C35" i="1"/>
  <c r="C34" i="1"/>
  <c r="C9" i="1"/>
  <c r="L25" i="1"/>
  <c r="I3" i="1" l="1"/>
  <c r="I5" i="1" s="1"/>
  <c r="D45" i="2"/>
  <c r="E24" i="2"/>
  <c r="E42" i="2" s="1"/>
  <c r="E52" i="2"/>
  <c r="E57" i="2" s="1"/>
  <c r="D26" i="2" s="1"/>
  <c r="M30" i="1"/>
  <c r="I2" i="1"/>
  <c r="F43" i="1" l="1"/>
  <c r="F31" i="1"/>
  <c r="I4" i="1"/>
  <c r="J4" i="1" s="1"/>
  <c r="F49" i="1"/>
  <c r="F70" i="1"/>
  <c r="F63" i="1"/>
  <c r="F19" i="1"/>
  <c r="F89" i="1"/>
  <c r="J3" i="1" l="1"/>
  <c r="J12" i="1"/>
</calcChain>
</file>

<file path=xl/sharedStrings.xml><?xml version="1.0" encoding="utf-8"?>
<sst xmlns="http://schemas.openxmlformats.org/spreadsheetml/2006/main" count="237" uniqueCount="189">
  <si>
    <t>Total Income</t>
  </si>
  <si>
    <t>Total Expense</t>
  </si>
  <si>
    <t>% Fixed Cost</t>
  </si>
  <si>
    <t>% Flex Cost</t>
  </si>
  <si>
    <t>Mortgage</t>
  </si>
  <si>
    <t>Confirm</t>
  </si>
  <si>
    <t>Taxes/Insurance</t>
  </si>
  <si>
    <t>Assets</t>
  </si>
  <si>
    <t>Annual Financial Future Contributions</t>
  </si>
  <si>
    <t>Total Home</t>
  </si>
  <si>
    <t>Transportation</t>
  </si>
  <si>
    <t>budgeted</t>
  </si>
  <si>
    <t>Total</t>
  </si>
  <si>
    <t>Roth, Trad &amp; NQ</t>
  </si>
  <si>
    <t>Total Assets</t>
  </si>
  <si>
    <t>Total Transportation</t>
  </si>
  <si>
    <t>Liabilities</t>
  </si>
  <si>
    <t>Total Liabilities</t>
  </si>
  <si>
    <t>Networth</t>
  </si>
  <si>
    <t>Total Family/Kids</t>
  </si>
  <si>
    <t>Financial</t>
  </si>
  <si>
    <t>Total Financial</t>
  </si>
  <si>
    <t>Grocery</t>
  </si>
  <si>
    <t>Total Food/Grocery</t>
  </si>
  <si>
    <t>Utility Bills</t>
  </si>
  <si>
    <t>Family Phone Plan</t>
  </si>
  <si>
    <t>Total Bills</t>
  </si>
  <si>
    <t>Side Hustle</t>
  </si>
  <si>
    <t>Child Care</t>
  </si>
  <si>
    <t>Loans</t>
  </si>
  <si>
    <t>Name:</t>
  </si>
  <si>
    <t>Date of Birth:</t>
  </si>
  <si>
    <t>Annual Salary</t>
  </si>
  <si>
    <t>401k % Deferral</t>
  </si>
  <si>
    <t>401(k)</t>
  </si>
  <si>
    <t>IRA</t>
  </si>
  <si>
    <t>NQ</t>
  </si>
  <si>
    <t>Cash Savings</t>
  </si>
  <si>
    <t>Paycheck</t>
  </si>
  <si>
    <t>Car Payment</t>
  </si>
  <si>
    <t>Car Insurance</t>
  </si>
  <si>
    <t>Gas</t>
  </si>
  <si>
    <t>Variable Life Insurance</t>
  </si>
  <si>
    <t>Term Life Insurance</t>
  </si>
  <si>
    <t>Child College Savings</t>
  </si>
  <si>
    <t>Exact Amount</t>
  </si>
  <si>
    <t>Advisor Suggestion</t>
  </si>
  <si>
    <t>No Max</t>
  </si>
  <si>
    <t>Housing</t>
  </si>
  <si>
    <t>Income (After Taxes etc.)</t>
  </si>
  <si>
    <t>Single</t>
  </si>
  <si>
    <t>Married</t>
  </si>
  <si>
    <t>Lower this Expense</t>
  </si>
  <si>
    <t>Escrow</t>
  </si>
  <si>
    <t>Cash Set Aside/mo.</t>
  </si>
  <si>
    <t>Take Out + Dine In</t>
  </si>
  <si>
    <t>IRA Contribution</t>
  </si>
  <si>
    <t>Brokerage Contribution</t>
  </si>
  <si>
    <t>Home Value</t>
  </si>
  <si>
    <t>Tax Escrow (1099)</t>
  </si>
  <si>
    <t>Cell Phone</t>
  </si>
  <si>
    <t>Email</t>
  </si>
  <si>
    <t>pre-budget</t>
  </si>
  <si>
    <t>Networth at Retirement</t>
  </si>
  <si>
    <t>Age Assets Expire</t>
  </si>
  <si>
    <t>Current Schooling</t>
  </si>
  <si>
    <t>Pet Care</t>
  </si>
  <si>
    <t>Home Outstanding Loan</t>
  </si>
  <si>
    <t>Outstanding Debt</t>
  </si>
  <si>
    <t>Credit Card Debt</t>
  </si>
  <si>
    <t>Credit Card Payment</t>
  </si>
  <si>
    <t>Student Debt</t>
  </si>
  <si>
    <t>Student Debt Payment</t>
  </si>
  <si>
    <t>Total Debt Payment</t>
  </si>
  <si>
    <t>Commissions</t>
  </si>
  <si>
    <t>1099 Income</t>
  </si>
  <si>
    <t>Desired Retirement Income</t>
  </si>
  <si>
    <t>Water Bill</t>
  </si>
  <si>
    <t>Birthday &amp; Holiday Gifts</t>
  </si>
  <si>
    <t>Savings Total</t>
  </si>
  <si>
    <t>Food &amp; Grocery etc.</t>
  </si>
  <si>
    <t>Streaming Services</t>
  </si>
  <si>
    <t>Gym Memberships</t>
  </si>
  <si>
    <t>Cable + Internet</t>
  </si>
  <si>
    <t>Club Memberships</t>
  </si>
  <si>
    <t>Child Name and Age</t>
  </si>
  <si>
    <t>Tax Bracket</t>
  </si>
  <si>
    <t>Gas + Electric Bill</t>
  </si>
  <si>
    <t>Security System Bill</t>
  </si>
  <si>
    <t>Employer</t>
  </si>
  <si>
    <t>Job Title</t>
  </si>
  <si>
    <t>Hair and Beauty Care</t>
  </si>
  <si>
    <t>Clothing, Shoes Etc.</t>
  </si>
  <si>
    <t>Merchandise (Amazon etc.)</t>
  </si>
  <si>
    <t>Charity Donation</t>
  </si>
  <si>
    <t>Roth/Trad</t>
  </si>
  <si>
    <t>Enhanced Retirement Income</t>
  </si>
  <si>
    <t>Deferred Comp.</t>
  </si>
  <si>
    <t>Bonus</t>
  </si>
  <si>
    <t>Lump Sum Bonus</t>
  </si>
  <si>
    <t>Bonus IRA</t>
  </si>
  <si>
    <t>Bonus Brokerage</t>
  </si>
  <si>
    <t>Freq.</t>
  </si>
  <si>
    <t>Annualized</t>
  </si>
  <si>
    <t>Real Estate Rental Income</t>
  </si>
  <si>
    <t>Joint Brokerage</t>
  </si>
  <si>
    <t>Rollover 401k</t>
  </si>
  <si>
    <t>Life Insurance</t>
  </si>
  <si>
    <t>Spouse 401k</t>
  </si>
  <si>
    <t>Spouse IRA</t>
  </si>
  <si>
    <t>Brokerage Account</t>
  </si>
  <si>
    <t>Leisure Activity</t>
  </si>
  <si>
    <t>Interest %</t>
  </si>
  <si>
    <t>Name of CPA</t>
  </si>
  <si>
    <t>Bonus Savings/Vacation/Home</t>
  </si>
  <si>
    <t>Cash Set Aside</t>
  </si>
  <si>
    <t>Monthly Total</t>
  </si>
  <si>
    <t>Vacation</t>
  </si>
  <si>
    <t>Savings Nest Egg</t>
  </si>
  <si>
    <t xml:space="preserve">Savings </t>
  </si>
  <si>
    <t>Total Annual Spend</t>
  </si>
  <si>
    <t>Vacation Fund</t>
  </si>
  <si>
    <t>Uber/Lyft/Taxi</t>
  </si>
  <si>
    <t>Short Term Financing</t>
  </si>
  <si>
    <t>Goal</t>
  </si>
  <si>
    <t>Total Funds</t>
  </si>
  <si>
    <t>Total Short Term Financing</t>
  </si>
  <si>
    <t>Months to Gaol</t>
  </si>
  <si>
    <t>Home Maintenance</t>
  </si>
  <si>
    <t>Disability Insurance</t>
  </si>
  <si>
    <t>Enhanced Retirement Networth</t>
  </si>
  <si>
    <t>Active 401k</t>
  </si>
  <si>
    <t>Active IRA</t>
  </si>
  <si>
    <t xml:space="preserve">Annual Car Maintenance </t>
  </si>
  <si>
    <t>License Plate + Tags</t>
  </si>
  <si>
    <t>House Cleaning</t>
  </si>
  <si>
    <t xml:space="preserve">Landscape + Fertilization </t>
  </si>
  <si>
    <t xml:space="preserve">Home Owners Association </t>
  </si>
  <si>
    <t>Ari Wagner</t>
  </si>
  <si>
    <t>313.549.5000</t>
  </si>
  <si>
    <t>Ari@SpartanWealth.com</t>
  </si>
  <si>
    <t>Health Cost + Medications</t>
  </si>
  <si>
    <t>Present Value</t>
  </si>
  <si>
    <t>Interest Rate</t>
  </si>
  <si>
    <t>Years to Retirement</t>
  </si>
  <si>
    <t>Period per Year</t>
  </si>
  <si>
    <t>Future Value</t>
  </si>
  <si>
    <t>Birth Year</t>
  </si>
  <si>
    <t>Age of Retirement</t>
  </si>
  <si>
    <t>Current Year</t>
  </si>
  <si>
    <t>Personal/Family Expenses</t>
  </si>
  <si>
    <t>Pre-Budget+ Retirement Outlook</t>
  </si>
  <si>
    <t>Retirement Outlook</t>
  </si>
  <si>
    <t>Notes</t>
  </si>
  <si>
    <t>Credit Card Name</t>
  </si>
  <si>
    <t>$ Owed</t>
  </si>
  <si>
    <t>APR %</t>
  </si>
  <si>
    <t>Min Payment</t>
  </si>
  <si>
    <t>Social Security</t>
  </si>
  <si>
    <t>Gifting</t>
  </si>
  <si>
    <t>Income Maximizer</t>
  </si>
  <si>
    <r>
      <t xml:space="preserve">Excess Investment </t>
    </r>
    <r>
      <rPr>
        <b/>
        <sz val="16"/>
        <color theme="1"/>
        <rFont val="Calibri"/>
        <family val="2"/>
        <scheme val="minor"/>
      </rPr>
      <t>Contribution</t>
    </r>
  </si>
  <si>
    <t>Contribution Value at Retirement</t>
  </si>
  <si>
    <t>Year</t>
  </si>
  <si>
    <t>*Compound Interest Calculation at 8% Rate of Return</t>
  </si>
  <si>
    <t>Increase Vacation Fund</t>
  </si>
  <si>
    <t xml:space="preserve">Additional Life Expenses </t>
  </si>
  <si>
    <t xml:space="preserve">Update Content in Any of the Green Highlighted Squares if Necessary </t>
  </si>
  <si>
    <t xml:space="preserve">Percentage of Excess Monthly Income Maximized </t>
  </si>
  <si>
    <t>Submit to Ari Wagner, Investment Advisor</t>
  </si>
  <si>
    <t>Investment Advisor</t>
  </si>
  <si>
    <t>Goal Retirement Yr</t>
  </si>
  <si>
    <t>Other Options for Excess to be Maximized - Edit $ if Needed</t>
  </si>
  <si>
    <t>William Lindmeier Paycheck</t>
  </si>
  <si>
    <t>Spouse Paycheck</t>
  </si>
  <si>
    <t>William Lindmeier Commission</t>
  </si>
  <si>
    <t>Total Monthly Lindmeier Income</t>
  </si>
  <si>
    <t>Total Monthly Lindmeier Expenses</t>
  </si>
  <si>
    <t>Total Investments</t>
  </si>
  <si>
    <t>Beverage Cost + Coffee</t>
  </si>
  <si>
    <t>Optimize</t>
  </si>
  <si>
    <t>Deduct</t>
  </si>
  <si>
    <t xml:space="preserve">Write-Off for Business </t>
  </si>
  <si>
    <t>Track</t>
  </si>
  <si>
    <t>Update Input Monthly</t>
  </si>
  <si>
    <t>Reduce</t>
  </si>
  <si>
    <t>-</t>
  </si>
  <si>
    <t>Cash-Flow</t>
  </si>
  <si>
    <t>CHECKLIST: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</si>
</sst>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</numFmts>
  <fonts count="4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rgb="FFEF564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rgb="FF06CF78"/>
      <name val="Calibri"/>
      <family val="2"/>
      <scheme val="minor"/>
    </font>
    <font>
      <b/>
      <sz val="14"/>
      <color rgb="FF06CF78"/>
      <name val="Calibri"/>
      <family val="2"/>
      <scheme val="minor"/>
    </font>
    <font>
      <b/>
      <sz val="16"/>
      <color rgb="FF06CF78"/>
      <name val="Calibri"/>
      <family val="2"/>
      <scheme val="minor"/>
    </font>
    <font>
      <b/>
      <i/>
      <sz val="40"/>
      <color rgb="FF06CF7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sz val="20"/>
      <color rgb="FF06CF78"/>
      <name val="Calibri"/>
      <family val="2"/>
      <scheme val="minor"/>
    </font>
    <font>
      <sz val="20"/>
      <color theme="0"/>
      <name val="Calibri"/>
      <family val="2"/>
      <scheme val="minor"/>
    </font>
    <font>
      <sz val="16"/>
      <color rgb="FFFF7F79"/>
      <name val="Calibri"/>
      <family val="2"/>
      <scheme val="minor"/>
    </font>
    <font>
      <sz val="20"/>
      <color rgb="FFFF7F79"/>
      <name val="Calibri"/>
      <family val="2"/>
      <scheme val="minor"/>
    </font>
    <font>
      <b/>
      <i/>
      <sz val="19"/>
      <color rgb="FF06CF78"/>
      <name val="Calibri"/>
      <family val="2"/>
      <scheme val="minor"/>
    </font>
    <font>
      <b/>
      <sz val="20"/>
      <color rgb="FF06CF78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6"/>
      <color rgb="FF06CF78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3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F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6CF7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BACFF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87FF72"/>
      </right>
      <top style="medium">
        <color rgb="FF87FF72"/>
      </top>
      <bottom/>
      <diagonal/>
    </border>
    <border>
      <left style="medium">
        <color rgb="FFE2EFDA"/>
      </left>
      <right style="medium">
        <color rgb="FFE2EFDA"/>
      </right>
      <top style="medium">
        <color rgb="FFE2EFDA"/>
      </top>
      <bottom/>
      <diagonal/>
    </border>
    <border>
      <left style="medium">
        <color rgb="FFFF7F79"/>
      </left>
      <right style="medium">
        <color rgb="FFFF7F79"/>
      </right>
      <top style="medium">
        <color rgb="FFFF7F79"/>
      </top>
      <bottom style="medium">
        <color rgb="FFFF7F79"/>
      </bottom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/>
      <diagonal/>
    </border>
    <border>
      <left/>
      <right style="medium">
        <color rgb="FFF8CBAD"/>
      </right>
      <top style="medium">
        <color rgb="FFF8CBAD"/>
      </top>
      <bottom/>
      <diagonal/>
    </border>
    <border>
      <left style="medium">
        <color rgb="FFFFE699"/>
      </left>
      <right style="medium">
        <color rgb="FFFFE699"/>
      </right>
      <top style="medium">
        <color rgb="FFFFE699"/>
      </top>
      <bottom style="medium">
        <color rgb="FFFFE699"/>
      </bottom>
      <diagonal/>
    </border>
    <border>
      <left style="medium">
        <color rgb="FFFFE699"/>
      </left>
      <right style="medium">
        <color rgb="FFFFE699"/>
      </right>
      <top/>
      <bottom style="medium">
        <color rgb="FFFFE699"/>
      </bottom>
      <diagonal/>
    </border>
    <border>
      <left style="medium">
        <color rgb="FFFFE699"/>
      </left>
      <right style="thin">
        <color indexed="64"/>
      </right>
      <top style="medium">
        <color rgb="FFFFE699"/>
      </top>
      <bottom style="medium">
        <color rgb="FFFFE699"/>
      </bottom>
      <diagonal/>
    </border>
    <border>
      <left style="thin">
        <color indexed="64"/>
      </left>
      <right style="medium">
        <color rgb="FFFFE699"/>
      </right>
      <top style="medium">
        <color rgb="FFFFE699"/>
      </top>
      <bottom style="medium">
        <color rgb="FFFFE699"/>
      </bottom>
      <diagonal/>
    </border>
    <border>
      <left style="medium">
        <color theme="1"/>
      </left>
      <right style="medium">
        <color rgb="FFF8CBAD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F8CBAD"/>
      </left>
      <right style="medium">
        <color indexed="64"/>
      </right>
      <top style="medium">
        <color rgb="FFF8CBAD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F8CBAD"/>
      </top>
      <bottom/>
      <diagonal/>
    </border>
    <border>
      <left style="medium">
        <color rgb="FF87FF72"/>
      </left>
      <right style="medium">
        <color rgb="FF87FF72"/>
      </right>
      <top style="medium">
        <color rgb="FF87FF72"/>
      </top>
      <bottom/>
      <diagonal/>
    </border>
    <border>
      <left style="medium">
        <color rgb="FFDDEBF7"/>
      </left>
      <right style="medium">
        <color rgb="FFDDEBF7"/>
      </right>
      <top/>
      <bottom/>
      <diagonal/>
    </border>
    <border>
      <left style="medium">
        <color rgb="FFFFE699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FFE699"/>
      </left>
      <right style="medium">
        <color rgb="FFFFE699"/>
      </right>
      <top style="medium">
        <color rgb="FFFFE699"/>
      </top>
      <bottom/>
      <diagonal/>
    </border>
    <border>
      <left/>
      <right style="medium">
        <color rgb="FFFFE69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medium">
        <color rgb="FFDDEBF7"/>
      </right>
      <top/>
      <bottom/>
      <diagonal/>
    </border>
    <border>
      <left/>
      <right style="medium">
        <color rgb="FFE2EFDA"/>
      </right>
      <top style="medium">
        <color rgb="FFE2EFDA"/>
      </top>
      <bottom/>
      <diagonal/>
    </border>
    <border>
      <left/>
      <right style="medium">
        <color rgb="FFFF7F79"/>
      </right>
      <top style="medium">
        <color rgb="FFFF7F79"/>
      </top>
      <bottom style="medium">
        <color rgb="FFFF7F79"/>
      </bottom>
      <diagonal/>
    </border>
    <border>
      <left/>
      <right style="medium">
        <color rgb="FFFFE699"/>
      </right>
      <top/>
      <bottom style="medium">
        <color rgb="FFFFE699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417">
    <xf numFmtId="0" fontId="0" fillId="0" borderId="0" xfId="0"/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4" fontId="0" fillId="2" borderId="6" xfId="1" applyFont="1" applyFill="1" applyBorder="1" applyAlignment="1">
      <alignment horizontal="center"/>
    </xf>
    <xf numFmtId="44" fontId="0" fillId="2" borderId="11" xfId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2" borderId="14" xfId="1" applyFont="1" applyFill="1" applyBorder="1" applyAlignment="1">
      <alignment horizontal="center"/>
    </xf>
    <xf numFmtId="44" fontId="0" fillId="2" borderId="0" xfId="1" applyFon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44" fontId="0" fillId="2" borderId="0" xfId="0" applyNumberFormat="1" applyFill="1" applyAlignment="1">
      <alignment horizontal="center"/>
    </xf>
    <xf numFmtId="44" fontId="2" fillId="2" borderId="0" xfId="0" applyNumberFormat="1" applyFont="1" applyFill="1" applyAlignment="1">
      <alignment horizontal="center"/>
    </xf>
    <xf numFmtId="9" fontId="0" fillId="2" borderId="20" xfId="2" applyFont="1" applyFill="1" applyBorder="1" applyAlignment="1">
      <alignment horizontal="center"/>
    </xf>
    <xf numFmtId="44" fontId="0" fillId="2" borderId="26" xfId="1" applyFont="1" applyFill="1" applyBorder="1" applyAlignment="1">
      <alignment horizontal="center"/>
    </xf>
    <xf numFmtId="17" fontId="8" fillId="2" borderId="0" xfId="0" applyNumberFormat="1" applyFont="1" applyFill="1" applyAlignment="1">
      <alignment vertical="center"/>
    </xf>
    <xf numFmtId="0" fontId="0" fillId="2" borderId="3" xfId="0" applyFill="1" applyBorder="1" applyAlignment="1">
      <alignment horizontal="center"/>
    </xf>
    <xf numFmtId="44" fontId="0" fillId="2" borderId="21" xfId="1" applyFon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/>
    </xf>
    <xf numFmtId="44" fontId="0" fillId="2" borderId="29" xfId="1" applyFont="1" applyFill="1" applyBorder="1" applyAlignment="1">
      <alignment horizontal="center"/>
    </xf>
    <xf numFmtId="44" fontId="0" fillId="2" borderId="30" xfId="1" applyFont="1" applyFill="1" applyBorder="1" applyAlignment="1">
      <alignment horizont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5" borderId="9" xfId="0" applyNumberFormat="1" applyFill="1" applyBorder="1" applyAlignment="1">
      <alignment horizontal="center"/>
    </xf>
    <xf numFmtId="42" fontId="9" fillId="2" borderId="0" xfId="0" applyNumberFormat="1" applyFont="1" applyFill="1" applyAlignment="1">
      <alignment horizontal="left"/>
    </xf>
    <xf numFmtId="0" fontId="0" fillId="2" borderId="1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44" fontId="0" fillId="2" borderId="7" xfId="0" applyNumberFormat="1" applyFill="1" applyBorder="1" applyAlignment="1">
      <alignment horizontal="right" vertical="center"/>
    </xf>
    <xf numFmtId="44" fontId="0" fillId="5" borderId="2" xfId="1" applyFont="1" applyFill="1" applyBorder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0" fillId="2" borderId="7" xfId="0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44" fontId="5" fillId="2" borderId="8" xfId="1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9" fontId="0" fillId="2" borderId="0" xfId="2" applyFont="1" applyFill="1" applyBorder="1" applyAlignment="1">
      <alignment horizontal="center"/>
    </xf>
    <xf numFmtId="44" fontId="0" fillId="3" borderId="32" xfId="1" applyFont="1" applyFill="1" applyBorder="1" applyAlignment="1">
      <alignment horizontal="center"/>
    </xf>
    <xf numFmtId="44" fontId="0" fillId="4" borderId="30" xfId="1" applyFont="1" applyFill="1" applyBorder="1" applyAlignment="1">
      <alignment horizontal="center"/>
    </xf>
    <xf numFmtId="9" fontId="0" fillId="4" borderId="12" xfId="2" applyFont="1" applyFill="1" applyBorder="1" applyAlignment="1">
      <alignment horizontal="center"/>
    </xf>
    <xf numFmtId="9" fontId="0" fillId="2" borderId="24" xfId="2" applyFont="1" applyFill="1" applyBorder="1" applyAlignment="1">
      <alignment horizontal="center"/>
    </xf>
    <xf numFmtId="44" fontId="0" fillId="0" borderId="0" xfId="1" applyFont="1" applyFill="1" applyAlignment="1">
      <alignment horizontal="center"/>
    </xf>
    <xf numFmtId="9" fontId="14" fillId="2" borderId="0" xfId="2" applyFont="1" applyFill="1" applyAlignment="1">
      <alignment vertical="top" wrapText="1"/>
    </xf>
    <xf numFmtId="0" fontId="0" fillId="2" borderId="7" xfId="0" applyFill="1" applyBorder="1" applyAlignment="1">
      <alignment horizontal="center" vertical="center"/>
    </xf>
    <xf numFmtId="42" fontId="0" fillId="2" borderId="6" xfId="1" applyNumberFormat="1" applyFont="1" applyFill="1" applyBorder="1" applyAlignment="1">
      <alignment horizontal="center"/>
    </xf>
    <xf numFmtId="42" fontId="0" fillId="2" borderId="8" xfId="1" applyNumberFormat="1" applyFont="1" applyFill="1" applyBorder="1" applyAlignment="1">
      <alignment horizontal="center"/>
    </xf>
    <xf numFmtId="42" fontId="0" fillId="2" borderId="14" xfId="1" applyNumberFormat="1" applyFont="1" applyFill="1" applyBorder="1" applyAlignment="1">
      <alignment horizontal="center"/>
    </xf>
    <xf numFmtId="42" fontId="0" fillId="2" borderId="2" xfId="1" applyNumberFormat="1" applyFont="1" applyFill="1" applyBorder="1" applyAlignment="1">
      <alignment horizontal="center"/>
    </xf>
    <xf numFmtId="42" fontId="0" fillId="2" borderId="4" xfId="1" applyNumberFormat="1" applyFont="1" applyFill="1" applyBorder="1" applyAlignment="1">
      <alignment horizontal="center"/>
    </xf>
    <xf numFmtId="42" fontId="0" fillId="2" borderId="11" xfId="1" applyNumberFormat="1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44" fontId="0" fillId="2" borderId="22" xfId="1" applyFont="1" applyFill="1" applyBorder="1" applyAlignment="1">
      <alignment horizontal="center"/>
    </xf>
    <xf numFmtId="44" fontId="0" fillId="2" borderId="8" xfId="1" applyFont="1" applyFill="1" applyBorder="1" applyAlignment="1">
      <alignment horizontal="center"/>
    </xf>
    <xf numFmtId="9" fontId="0" fillId="2" borderId="22" xfId="2" applyFont="1" applyFill="1" applyBorder="1" applyAlignment="1">
      <alignment horizontal="center"/>
    </xf>
    <xf numFmtId="9" fontId="0" fillId="2" borderId="8" xfId="2" applyFont="1" applyFill="1" applyBorder="1" applyAlignment="1">
      <alignment horizontal="center"/>
    </xf>
    <xf numFmtId="0" fontId="0" fillId="2" borderId="13" xfId="0" applyFill="1" applyBorder="1" applyAlignment="1">
      <alignment horizontal="right" vertical="center"/>
    </xf>
    <xf numFmtId="0" fontId="0" fillId="2" borderId="13" xfId="0" applyFill="1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0" fontId="0" fillId="2" borderId="19" xfId="0" applyFill="1" applyBorder="1" applyAlignment="1">
      <alignment horizontal="center"/>
    </xf>
    <xf numFmtId="9" fontId="14" fillId="2" borderId="0" xfId="2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44" fontId="0" fillId="2" borderId="11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14" fontId="0" fillId="2" borderId="2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15" fillId="2" borderId="34" xfId="0" applyFont="1" applyFill="1" applyBorder="1" applyAlignment="1">
      <alignment horizontal="center"/>
    </xf>
    <xf numFmtId="10" fontId="15" fillId="2" borderId="42" xfId="2" applyNumberFormat="1" applyFont="1" applyFill="1" applyBorder="1" applyAlignment="1">
      <alignment horizontal="center" vertical="center"/>
    </xf>
    <xf numFmtId="44" fontId="0" fillId="2" borderId="4" xfId="0" applyNumberFormat="1" applyFill="1" applyBorder="1" applyAlignment="1">
      <alignment horizontal="center"/>
    </xf>
    <xf numFmtId="0" fontId="0" fillId="9" borderId="49" xfId="0" applyFill="1" applyBorder="1" applyAlignment="1">
      <alignment horizontal="center" vertical="center"/>
    </xf>
    <xf numFmtId="44" fontId="0" fillId="9" borderId="49" xfId="1" applyFont="1" applyFill="1" applyBorder="1" applyAlignment="1">
      <alignment horizontal="center" vertical="center"/>
    </xf>
    <xf numFmtId="44" fontId="4" fillId="9" borderId="49" xfId="1" applyFont="1" applyFill="1" applyBorder="1" applyAlignment="1">
      <alignment horizontal="center" vertical="center"/>
    </xf>
    <xf numFmtId="9" fontId="0" fillId="9" borderId="49" xfId="2" applyFont="1" applyFill="1" applyBorder="1" applyAlignment="1">
      <alignment horizontal="center"/>
    </xf>
    <xf numFmtId="42" fontId="0" fillId="9" borderId="49" xfId="1" applyNumberFormat="1" applyFont="1" applyFill="1" applyBorder="1" applyAlignment="1">
      <alignment horizontal="center"/>
    </xf>
    <xf numFmtId="0" fontId="0" fillId="2" borderId="1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2" borderId="3" xfId="0" applyFill="1" applyBorder="1" applyAlignment="1">
      <alignment horizontal="right"/>
    </xf>
    <xf numFmtId="0" fontId="0" fillId="3" borderId="3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6" fillId="10" borderId="55" xfId="1" applyFont="1" applyFill="1" applyBorder="1" applyAlignment="1">
      <alignment horizontal="left"/>
    </xf>
    <xf numFmtId="0" fontId="5" fillId="10" borderId="54" xfId="0" applyFont="1" applyFill="1" applyBorder="1" applyAlignment="1">
      <alignment horizontal="left" vertical="center"/>
    </xf>
    <xf numFmtId="44" fontId="10" fillId="10" borderId="56" xfId="1" applyFont="1" applyFill="1" applyBorder="1" applyAlignment="1">
      <alignment horizontal="center"/>
    </xf>
    <xf numFmtId="0" fontId="5" fillId="10" borderId="53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44" fontId="16" fillId="2" borderId="0" xfId="1" applyFont="1" applyFill="1" applyBorder="1" applyAlignment="1">
      <alignment horizontal="center"/>
    </xf>
    <xf numFmtId="44" fontId="7" fillId="2" borderId="0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4" fillId="2" borderId="59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44" fontId="0" fillId="2" borderId="4" xfId="1" applyFon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6" borderId="10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42" fontId="0" fillId="6" borderId="8" xfId="1" applyNumberFormat="1" applyFont="1" applyFill="1" applyBorder="1" applyAlignment="1">
      <alignment horizontal="center"/>
    </xf>
    <xf numFmtId="0" fontId="0" fillId="2" borderId="19" xfId="1" applyNumberFormat="1" applyFont="1" applyFill="1" applyBorder="1" applyAlignment="1">
      <alignment horizontal="center"/>
    </xf>
    <xf numFmtId="0" fontId="0" fillId="2" borderId="22" xfId="1" applyNumberFormat="1" applyFont="1" applyFill="1" applyBorder="1" applyAlignment="1">
      <alignment horizontal="center"/>
    </xf>
    <xf numFmtId="0" fontId="0" fillId="2" borderId="21" xfId="1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0" fillId="6" borderId="48" xfId="0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44" fontId="0" fillId="2" borderId="0" xfId="1" applyFont="1" applyFill="1" applyBorder="1" applyAlignment="1">
      <alignment vertical="center" wrapText="1"/>
    </xf>
    <xf numFmtId="44" fontId="17" fillId="2" borderId="0" xfId="1" applyFont="1" applyFill="1" applyAlignment="1">
      <alignment horizontal="center"/>
    </xf>
    <xf numFmtId="0" fontId="10" fillId="6" borderId="63" xfId="0" applyFont="1" applyFill="1" applyBorder="1" applyAlignment="1">
      <alignment horizontal="center" vertical="center"/>
    </xf>
    <xf numFmtId="42" fontId="0" fillId="6" borderId="42" xfId="1" applyNumberFormat="1" applyFont="1" applyFill="1" applyBorder="1" applyAlignment="1">
      <alignment horizontal="center"/>
    </xf>
    <xf numFmtId="9" fontId="0" fillId="0" borderId="8" xfId="2" applyFont="1" applyBorder="1"/>
    <xf numFmtId="44" fontId="23" fillId="2" borderId="0" xfId="1" applyFont="1" applyFill="1" applyBorder="1" applyAlignment="1">
      <alignment horizontal="left"/>
    </xf>
    <xf numFmtId="0" fontId="21" fillId="2" borderId="0" xfId="0" applyFont="1" applyFill="1" applyAlignment="1">
      <alignment horizontal="center" vertical="center" wrapText="1"/>
    </xf>
    <xf numFmtId="9" fontId="21" fillId="2" borderId="0" xfId="2" applyFont="1" applyFill="1" applyBorder="1" applyAlignment="1">
      <alignment wrapText="1"/>
    </xf>
    <xf numFmtId="44" fontId="21" fillId="2" borderId="0" xfId="1" applyFont="1" applyFill="1" applyBorder="1" applyAlignment="1">
      <alignment wrapText="1"/>
    </xf>
    <xf numFmtId="0" fontId="21" fillId="2" borderId="0" xfId="0" applyFont="1" applyFill="1" applyAlignment="1">
      <alignment horizontal="center"/>
    </xf>
    <xf numFmtId="0" fontId="0" fillId="2" borderId="13" xfId="0" applyFill="1" applyBorder="1" applyAlignment="1">
      <alignment horizontal="right"/>
    </xf>
    <xf numFmtId="0" fontId="28" fillId="0" borderId="0" xfId="3"/>
    <xf numFmtId="0" fontId="0" fillId="2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42" fontId="0" fillId="6" borderId="4" xfId="1" applyNumberFormat="1" applyFont="1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8" fillId="11" borderId="16" xfId="0" applyFont="1" applyFill="1" applyBorder="1" applyAlignment="1">
      <alignment vertical="center" wrapText="1"/>
    </xf>
    <xf numFmtId="0" fontId="0" fillId="9" borderId="10" xfId="0" applyFill="1" applyBorder="1" applyAlignment="1">
      <alignment horizontal="center" vertical="center"/>
    </xf>
    <xf numFmtId="42" fontId="0" fillId="9" borderId="11" xfId="1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0" fillId="12" borderId="59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44" fontId="0" fillId="12" borderId="19" xfId="1" applyFont="1" applyFill="1" applyBorder="1"/>
    <xf numFmtId="9" fontId="0" fillId="12" borderId="19" xfId="2" applyFont="1" applyFill="1" applyBorder="1"/>
    <xf numFmtId="44" fontId="0" fillId="12" borderId="4" xfId="1" applyFont="1" applyFill="1" applyBorder="1"/>
    <xf numFmtId="44" fontId="0" fillId="12" borderId="22" xfId="1" applyFont="1" applyFill="1" applyBorder="1"/>
    <xf numFmtId="9" fontId="0" fillId="12" borderId="22" xfId="2" applyFont="1" applyFill="1" applyBorder="1"/>
    <xf numFmtId="44" fontId="0" fillId="12" borderId="8" xfId="1" applyFont="1" applyFill="1" applyBorder="1"/>
    <xf numFmtId="44" fontId="0" fillId="12" borderId="21" xfId="1" applyFont="1" applyFill="1" applyBorder="1"/>
    <xf numFmtId="9" fontId="0" fillId="12" borderId="21" xfId="2" applyFont="1" applyFill="1" applyBorder="1"/>
    <xf numFmtId="44" fontId="0" fillId="12" borderId="11" xfId="1" applyFont="1" applyFill="1" applyBorder="1"/>
    <xf numFmtId="0" fontId="0" fillId="12" borderId="21" xfId="0" applyFill="1" applyBorder="1"/>
    <xf numFmtId="42" fontId="0" fillId="6" borderId="11" xfId="1" applyNumberFormat="1" applyFont="1" applyFill="1" applyBorder="1" applyAlignment="1">
      <alignment horizontal="center"/>
    </xf>
    <xf numFmtId="0" fontId="0" fillId="6" borderId="5" xfId="0" applyFill="1" applyBorder="1" applyAlignment="1">
      <alignment horizontal="left" vertical="center"/>
    </xf>
    <xf numFmtId="0" fontId="14" fillId="13" borderId="23" xfId="0" applyFont="1" applyFill="1" applyBorder="1"/>
    <xf numFmtId="0" fontId="14" fillId="13" borderId="62" xfId="0" applyFont="1" applyFill="1" applyBorder="1"/>
    <xf numFmtId="164" fontId="27" fillId="13" borderId="24" xfId="0" applyNumberFormat="1" applyFont="1" applyFill="1" applyBorder="1"/>
    <xf numFmtId="0" fontId="0" fillId="13" borderId="23" xfId="0" applyFill="1" applyBorder="1"/>
    <xf numFmtId="0" fontId="0" fillId="13" borderId="62" xfId="0" applyFill="1" applyBorder="1"/>
    <xf numFmtId="0" fontId="0" fillId="13" borderId="24" xfId="0" applyFill="1" applyBorder="1"/>
    <xf numFmtId="0" fontId="14" fillId="2" borderId="0" xfId="0" applyFont="1" applyFill="1"/>
    <xf numFmtId="164" fontId="2" fillId="2" borderId="0" xfId="0" applyNumberFormat="1" applyFont="1" applyFill="1"/>
    <xf numFmtId="0" fontId="4" fillId="2" borderId="15" xfId="0" applyFont="1" applyFill="1" applyBorder="1" applyAlignment="1">
      <alignment horizontal="left"/>
    </xf>
    <xf numFmtId="0" fontId="4" fillId="2" borderId="60" xfId="0" applyFont="1" applyFill="1" applyBorder="1" applyAlignment="1">
      <alignment horizontal="left"/>
    </xf>
    <xf numFmtId="42" fontId="19" fillId="2" borderId="60" xfId="0" applyNumberFormat="1" applyFont="1" applyFill="1" applyBorder="1" applyAlignment="1">
      <alignment vertical="center"/>
    </xf>
    <xf numFmtId="42" fontId="19" fillId="2" borderId="0" xfId="0" applyNumberFormat="1" applyFont="1" applyFill="1" applyAlignment="1">
      <alignment vertical="center"/>
    </xf>
    <xf numFmtId="42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42" fontId="0" fillId="0" borderId="0" xfId="0" applyNumberFormat="1" applyAlignment="1">
      <alignment vertical="center"/>
    </xf>
    <xf numFmtId="0" fontId="0" fillId="0" borderId="3" xfId="0" applyBorder="1"/>
    <xf numFmtId="164" fontId="0" fillId="0" borderId="4" xfId="0" applyNumberFormat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8" fontId="0" fillId="0" borderId="11" xfId="0" applyNumberFormat="1" applyBorder="1"/>
    <xf numFmtId="0" fontId="0" fillId="11" borderId="3" xfId="0" applyFill="1" applyBorder="1"/>
    <xf numFmtId="0" fontId="0" fillId="11" borderId="4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10" xfId="0" applyFill="1" applyBorder="1"/>
    <xf numFmtId="0" fontId="0" fillId="11" borderId="11" xfId="0" applyFill="1" applyBorder="1"/>
    <xf numFmtId="0" fontId="0" fillId="10" borderId="7" xfId="0" applyFill="1" applyBorder="1" applyAlignment="1">
      <alignment horizontal="left" vertical="center"/>
    </xf>
    <xf numFmtId="42" fontId="0" fillId="10" borderId="8" xfId="1" applyNumberFormat="1" applyFont="1" applyFill="1" applyBorder="1" applyAlignment="1">
      <alignment horizontal="center"/>
    </xf>
    <xf numFmtId="9" fontId="0" fillId="9" borderId="73" xfId="2" applyFont="1" applyFill="1" applyBorder="1" applyAlignment="1">
      <alignment horizontal="center"/>
    </xf>
    <xf numFmtId="42" fontId="0" fillId="9" borderId="74" xfId="1" applyNumberFormat="1" applyFont="1" applyFill="1" applyBorder="1" applyAlignment="1">
      <alignment horizontal="center"/>
    </xf>
    <xf numFmtId="42" fontId="0" fillId="2" borderId="0" xfId="1" applyNumberFormat="1" applyFont="1" applyFill="1" applyBorder="1" applyAlignment="1">
      <alignment horizontal="center"/>
    </xf>
    <xf numFmtId="44" fontId="4" fillId="2" borderId="0" xfId="1" applyFont="1" applyFill="1" applyBorder="1" applyAlignment="1">
      <alignment horizontal="center" vertical="center"/>
    </xf>
    <xf numFmtId="44" fontId="0" fillId="2" borderId="5" xfId="0" applyNumberFormat="1" applyFill="1" applyBorder="1" applyAlignment="1">
      <alignment horizontal="right" vertical="center"/>
    </xf>
    <xf numFmtId="49" fontId="0" fillId="2" borderId="75" xfId="0" applyNumberFormat="1" applyFill="1" applyBorder="1" applyAlignment="1">
      <alignment horizontal="center"/>
    </xf>
    <xf numFmtId="44" fontId="0" fillId="2" borderId="75" xfId="1" applyFont="1" applyFill="1" applyBorder="1" applyAlignment="1">
      <alignment horizontal="center"/>
    </xf>
    <xf numFmtId="44" fontId="5" fillId="2" borderId="6" xfId="1" applyFont="1" applyFill="1" applyBorder="1" applyAlignment="1">
      <alignment horizontal="center"/>
    </xf>
    <xf numFmtId="0" fontId="5" fillId="11" borderId="69" xfId="0" applyFont="1" applyFill="1" applyBorder="1" applyAlignment="1">
      <alignment horizontal="right" vertical="center"/>
    </xf>
    <xf numFmtId="0" fontId="4" fillId="11" borderId="44" xfId="0" applyFont="1" applyFill="1" applyBorder="1" applyAlignment="1">
      <alignment horizontal="left" vertical="center"/>
    </xf>
    <xf numFmtId="0" fontId="5" fillId="14" borderId="83" xfId="0" applyFont="1" applyFill="1" applyBorder="1" applyAlignment="1">
      <alignment horizontal="right" vertical="center"/>
    </xf>
    <xf numFmtId="0" fontId="0" fillId="14" borderId="84" xfId="0" applyFill="1" applyBorder="1" applyAlignment="1">
      <alignment horizontal="left" vertical="center"/>
    </xf>
    <xf numFmtId="0" fontId="5" fillId="3" borderId="70" xfId="0" applyFont="1" applyFill="1" applyBorder="1" applyAlignment="1">
      <alignment horizontal="right" vertical="center"/>
    </xf>
    <xf numFmtId="0" fontId="4" fillId="3" borderId="85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right" vertical="center"/>
    </xf>
    <xf numFmtId="0" fontId="4" fillId="4" borderId="86" xfId="0" applyFont="1" applyFill="1" applyBorder="1" applyAlignment="1">
      <alignment horizontal="left" vertical="center"/>
    </xf>
    <xf numFmtId="0" fontId="5" fillId="6" borderId="47" xfId="0" applyFont="1" applyFill="1" applyBorder="1" applyAlignment="1">
      <alignment horizontal="right" vertical="center"/>
    </xf>
    <xf numFmtId="0" fontId="4" fillId="6" borderId="48" xfId="0" applyFont="1" applyFill="1" applyBorder="1" applyAlignment="1">
      <alignment horizontal="left" vertical="center"/>
    </xf>
    <xf numFmtId="0" fontId="5" fillId="5" borderId="46" xfId="0" applyFont="1" applyFill="1" applyBorder="1" applyAlignment="1">
      <alignment horizontal="right" vertical="center"/>
    </xf>
    <xf numFmtId="0" fontId="4" fillId="5" borderId="87" xfId="0" applyFont="1" applyFill="1" applyBorder="1" applyAlignment="1">
      <alignment horizontal="left" vertical="center"/>
    </xf>
    <xf numFmtId="0" fontId="5" fillId="8" borderId="50" xfId="0" applyFont="1" applyFill="1" applyBorder="1" applyAlignment="1">
      <alignment horizontal="right" vertical="center"/>
    </xf>
    <xf numFmtId="0" fontId="4" fillId="8" borderId="88" xfId="0" applyFont="1" applyFill="1" applyBorder="1" applyAlignment="1">
      <alignment horizontal="left"/>
    </xf>
    <xf numFmtId="0" fontId="5" fillId="4" borderId="0" xfId="0" applyFont="1" applyFill="1" applyAlignment="1">
      <alignment horizontal="left" vertical="center"/>
    </xf>
    <xf numFmtId="44" fontId="5" fillId="4" borderId="0" xfId="1" applyFont="1" applyFill="1" applyAlignment="1">
      <alignment horizontal="center" vertical="center"/>
    </xf>
    <xf numFmtId="9" fontId="5" fillId="4" borderId="24" xfId="2" applyFont="1" applyFill="1" applyBorder="1" applyAlignment="1">
      <alignment horizontal="center" vertical="center"/>
    </xf>
    <xf numFmtId="0" fontId="0" fillId="0" borderId="82" xfId="0" applyBorder="1" applyAlignment="1">
      <alignment horizontal="left" vertical="center" wrapText="1"/>
    </xf>
    <xf numFmtId="44" fontId="0" fillId="2" borderId="39" xfId="1" applyFont="1" applyFill="1" applyBorder="1" applyAlignment="1">
      <alignment horizontal="center"/>
    </xf>
    <xf numFmtId="44" fontId="0" fillId="2" borderId="40" xfId="1" applyFont="1" applyFill="1" applyBorder="1" applyAlignment="1">
      <alignment horizontal="center"/>
    </xf>
    <xf numFmtId="0" fontId="29" fillId="2" borderId="39" xfId="0" applyFont="1" applyFill="1" applyBorder="1" applyAlignment="1">
      <alignment horizontal="center"/>
    </xf>
    <xf numFmtId="0" fontId="29" fillId="2" borderId="40" xfId="0" applyFon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59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18" fillId="0" borderId="82" xfId="0" applyFont="1" applyBorder="1" applyAlignment="1">
      <alignment horizontal="center" vertical="center" wrapText="1"/>
    </xf>
    <xf numFmtId="0" fontId="30" fillId="0" borderId="82" xfId="0" applyFont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42" fontId="6" fillId="2" borderId="0" xfId="1" applyNumberFormat="1" applyFont="1" applyFill="1" applyBorder="1" applyAlignment="1">
      <alignment horizontal="center" vertical="center"/>
    </xf>
    <xf numFmtId="0" fontId="0" fillId="5" borderId="35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42" fontId="19" fillId="2" borderId="60" xfId="0" applyNumberFormat="1" applyFont="1" applyFill="1" applyBorder="1" applyAlignment="1">
      <alignment horizontal="center" vertical="center"/>
    </xf>
    <xf numFmtId="42" fontId="19" fillId="2" borderId="0" xfId="0" applyNumberFormat="1" applyFont="1" applyFill="1" applyAlignment="1">
      <alignment horizontal="center" vertical="center"/>
    </xf>
    <xf numFmtId="42" fontId="0" fillId="2" borderId="0" xfId="0" applyNumberFormat="1" applyFill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9" fontId="14" fillId="2" borderId="37" xfId="2" applyFont="1" applyFill="1" applyBorder="1" applyAlignment="1">
      <alignment horizontal="center" vertical="center" wrapText="1"/>
    </xf>
    <xf numFmtId="9" fontId="14" fillId="2" borderId="38" xfId="2" applyFont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66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44" fontId="7" fillId="5" borderId="15" xfId="1" applyFont="1" applyFill="1" applyBorder="1" applyAlignment="1">
      <alignment horizontal="center" vertical="center" wrapText="1"/>
    </xf>
    <xf numFmtId="44" fontId="7" fillId="5" borderId="16" xfId="1" applyFont="1" applyFill="1" applyBorder="1" applyAlignment="1">
      <alignment horizontal="center" vertical="center" wrapText="1"/>
    </xf>
    <xf numFmtId="44" fontId="7" fillId="5" borderId="17" xfId="1" applyFont="1" applyFill="1" applyBorder="1" applyAlignment="1">
      <alignment horizontal="center" vertical="center" wrapText="1"/>
    </xf>
    <xf numFmtId="44" fontId="7" fillId="5" borderId="18" xfId="1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44" fontId="0" fillId="11" borderId="32" xfId="1" applyFont="1" applyFill="1" applyBorder="1" applyAlignment="1">
      <alignment horizontal="center" vertical="center" wrapText="1"/>
    </xf>
    <xf numFmtId="44" fontId="0" fillId="11" borderId="30" xfId="1" applyFont="1" applyFill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44" fontId="0" fillId="5" borderId="32" xfId="1" applyFont="1" applyFill="1" applyBorder="1" applyAlignment="1">
      <alignment horizontal="center" vertical="center" wrapText="1"/>
    </xf>
    <xf numFmtId="44" fontId="0" fillId="5" borderId="30" xfId="1" applyFont="1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44" fontId="7" fillId="11" borderId="15" xfId="1" applyFont="1" applyFill="1" applyBorder="1" applyAlignment="1">
      <alignment horizontal="center" vertical="center" wrapText="1"/>
    </xf>
    <xf numFmtId="44" fontId="7" fillId="11" borderId="16" xfId="1" applyFont="1" applyFill="1" applyBorder="1" applyAlignment="1">
      <alignment horizontal="center" vertical="center" wrapText="1"/>
    </xf>
    <xf numFmtId="44" fontId="7" fillId="11" borderId="17" xfId="1" applyFont="1" applyFill="1" applyBorder="1" applyAlignment="1">
      <alignment horizontal="center" vertical="center" wrapText="1"/>
    </xf>
    <xf numFmtId="44" fontId="7" fillId="11" borderId="18" xfId="1" applyFont="1" applyFill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wrapText="1"/>
    </xf>
    <xf numFmtId="0" fontId="31" fillId="11" borderId="61" xfId="0" applyFont="1" applyFill="1" applyBorder="1" applyAlignment="1">
      <alignment horizontal="center" wrapText="1"/>
    </xf>
    <xf numFmtId="0" fontId="31" fillId="11" borderId="17" xfId="0" applyFont="1" applyFill="1" applyBorder="1" applyAlignment="1">
      <alignment horizontal="center" wrapText="1"/>
    </xf>
    <xf numFmtId="0" fontId="31" fillId="11" borderId="18" xfId="0" applyFont="1" applyFill="1" applyBorder="1" applyAlignment="1">
      <alignment horizontal="center" wrapText="1"/>
    </xf>
    <xf numFmtId="0" fontId="0" fillId="9" borderId="51" xfId="0" applyFill="1" applyBorder="1" applyAlignment="1">
      <alignment horizontal="right"/>
    </xf>
    <xf numFmtId="0" fontId="0" fillId="9" borderId="52" xfId="0" applyFill="1" applyBorder="1" applyAlignment="1">
      <alignment horizontal="right"/>
    </xf>
    <xf numFmtId="0" fontId="0" fillId="9" borderId="71" xfId="0" applyFill="1" applyBorder="1" applyAlignment="1">
      <alignment horizontal="right"/>
    </xf>
    <xf numFmtId="0" fontId="0" fillId="9" borderId="72" xfId="0" applyFill="1" applyBorder="1" applyAlignment="1">
      <alignment horizontal="right"/>
    </xf>
    <xf numFmtId="44" fontId="0" fillId="2" borderId="57" xfId="0" applyNumberFormat="1" applyFill="1" applyBorder="1" applyAlignment="1">
      <alignment horizontal="center" vertical="center"/>
    </xf>
    <xf numFmtId="44" fontId="0" fillId="2" borderId="58" xfId="0" applyNumberFormat="1" applyFill="1" applyBorder="1" applyAlignment="1">
      <alignment horizontal="center" vertical="center"/>
    </xf>
    <xf numFmtId="44" fontId="7" fillId="2" borderId="15" xfId="1" applyFont="1" applyFill="1" applyBorder="1" applyAlignment="1">
      <alignment horizontal="center" vertical="center"/>
    </xf>
    <xf numFmtId="44" fontId="7" fillId="2" borderId="16" xfId="1" applyFont="1" applyFill="1" applyBorder="1" applyAlignment="1">
      <alignment horizontal="center" vertical="center"/>
    </xf>
    <xf numFmtId="44" fontId="7" fillId="2" borderId="17" xfId="1" applyFont="1" applyFill="1" applyBorder="1" applyAlignment="1">
      <alignment horizontal="center" vertical="center"/>
    </xf>
    <xf numFmtId="44" fontId="7" fillId="2" borderId="18" xfId="1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5" borderId="60" xfId="0" applyFont="1" applyFill="1" applyBorder="1" applyAlignment="1">
      <alignment horizontal="center" vertical="center" wrapText="1"/>
    </xf>
    <xf numFmtId="0" fontId="14" fillId="5" borderId="61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0" fillId="6" borderId="68" xfId="0" applyFont="1" applyFill="1" applyBorder="1" applyAlignment="1">
      <alignment horizontal="center" vertical="center"/>
    </xf>
    <xf numFmtId="0" fontId="10" fillId="6" borderId="60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2" fillId="2" borderId="76" xfId="0" applyFont="1" applyFill="1" applyBorder="1" applyAlignment="1">
      <alignment horizontal="center" vertical="center" wrapText="1"/>
    </xf>
    <xf numFmtId="0" fontId="42" fillId="2" borderId="77" xfId="0" applyFont="1" applyFill="1" applyBorder="1" applyAlignment="1">
      <alignment horizontal="center" vertical="center" wrapText="1"/>
    </xf>
    <xf numFmtId="0" fontId="42" fillId="2" borderId="78" xfId="0" applyFont="1" applyFill="1" applyBorder="1" applyAlignment="1">
      <alignment horizontal="center" vertical="center" wrapText="1"/>
    </xf>
    <xf numFmtId="0" fontId="42" fillId="2" borderId="79" xfId="0" applyFont="1" applyFill="1" applyBorder="1" applyAlignment="1">
      <alignment horizontal="center" vertical="center" wrapText="1"/>
    </xf>
    <xf numFmtId="0" fontId="42" fillId="2" borderId="80" xfId="0" applyFont="1" applyFill="1" applyBorder="1" applyAlignment="1">
      <alignment horizontal="center" vertical="center" wrapText="1"/>
    </xf>
    <xf numFmtId="0" fontId="42" fillId="2" borderId="81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0" fontId="28" fillId="2" borderId="39" xfId="3" applyFill="1" applyBorder="1" applyAlignment="1">
      <alignment horizontal="center"/>
    </xf>
    <xf numFmtId="4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0" fontId="0" fillId="6" borderId="37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44" fontId="0" fillId="10" borderId="23" xfId="1" applyFont="1" applyFill="1" applyBorder="1" applyAlignment="1">
      <alignment horizontal="center" wrapText="1"/>
    </xf>
    <xf numFmtId="44" fontId="0" fillId="10" borderId="24" xfId="1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6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44" fontId="24" fillId="2" borderId="0" xfId="1" applyFont="1" applyFill="1" applyBorder="1" applyAlignment="1">
      <alignment horizontal="center" vertical="center"/>
    </xf>
    <xf numFmtId="44" fontId="22" fillId="2" borderId="0" xfId="1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40" fillId="2" borderId="43" xfId="0" applyFont="1" applyFill="1" applyBorder="1" applyAlignment="1">
      <alignment horizontal="left" vertical="top" wrapText="1"/>
    </xf>
    <xf numFmtId="0" fontId="40" fillId="2" borderId="0" xfId="0" applyFont="1" applyFill="1" applyAlignment="1">
      <alignment horizontal="left" vertical="top" wrapText="1"/>
    </xf>
    <xf numFmtId="0" fontId="14" fillId="2" borderId="15" xfId="1" applyNumberFormat="1" applyFont="1" applyFill="1" applyBorder="1" applyAlignment="1">
      <alignment horizontal="center" vertical="center"/>
    </xf>
    <xf numFmtId="0" fontId="14" fillId="2" borderId="43" xfId="1" applyNumberFormat="1" applyFont="1" applyFill="1" applyBorder="1" applyAlignment="1">
      <alignment horizontal="center" vertical="center"/>
    </xf>
    <xf numFmtId="0" fontId="14" fillId="2" borderId="16" xfId="1" applyNumberFormat="1" applyFont="1" applyFill="1" applyBorder="1" applyAlignment="1">
      <alignment horizontal="center" vertical="center"/>
    </xf>
    <xf numFmtId="0" fontId="14" fillId="2" borderId="17" xfId="1" applyNumberFormat="1" applyFont="1" applyFill="1" applyBorder="1" applyAlignment="1">
      <alignment horizontal="center" vertical="center"/>
    </xf>
    <xf numFmtId="0" fontId="14" fillId="2" borderId="64" xfId="1" applyNumberFormat="1" applyFont="1" applyFill="1" applyBorder="1" applyAlignment="1">
      <alignment horizontal="center" vertical="center"/>
    </xf>
    <xf numFmtId="0" fontId="14" fillId="2" borderId="18" xfId="1" applyNumberFormat="1" applyFont="1" applyFill="1" applyBorder="1" applyAlignment="1">
      <alignment horizontal="center" vertical="center"/>
    </xf>
    <xf numFmtId="9" fontId="34" fillId="11" borderId="37" xfId="2" applyFont="1" applyFill="1" applyBorder="1" applyAlignment="1">
      <alignment horizontal="center" vertical="center" wrapText="1"/>
    </xf>
    <xf numFmtId="9" fontId="34" fillId="11" borderId="38" xfId="2" applyFont="1" applyFill="1" applyBorder="1" applyAlignment="1">
      <alignment horizontal="center" vertical="center" wrapText="1"/>
    </xf>
    <xf numFmtId="0" fontId="22" fillId="13" borderId="0" xfId="0" applyFont="1" applyFill="1" applyAlignment="1">
      <alignment horizontal="center" vertical="center"/>
    </xf>
    <xf numFmtId="0" fontId="22" fillId="13" borderId="64" xfId="0" applyFont="1" applyFill="1" applyBorder="1" applyAlignment="1">
      <alignment horizontal="center" vertical="center"/>
    </xf>
    <xf numFmtId="164" fontId="41" fillId="13" borderId="61" xfId="0" applyNumberFormat="1" applyFont="1" applyFill="1" applyBorder="1" applyAlignment="1">
      <alignment horizontal="center" vertical="center"/>
    </xf>
    <xf numFmtId="164" fontId="41" fillId="13" borderId="18" xfId="0" applyNumberFormat="1" applyFont="1" applyFill="1" applyBorder="1" applyAlignment="1">
      <alignment horizontal="center" vertical="center"/>
    </xf>
    <xf numFmtId="0" fontId="14" fillId="2" borderId="65" xfId="1" applyNumberFormat="1" applyFont="1" applyFill="1" applyBorder="1" applyAlignment="1">
      <alignment horizontal="center" vertical="center"/>
    </xf>
    <xf numFmtId="0" fontId="14" fillId="2" borderId="28" xfId="1" applyNumberFormat="1" applyFont="1" applyFill="1" applyBorder="1" applyAlignment="1">
      <alignment horizontal="center" vertical="center"/>
    </xf>
    <xf numFmtId="5" fontId="34" fillId="11" borderId="32" xfId="1" applyNumberFormat="1" applyFont="1" applyFill="1" applyBorder="1" applyAlignment="1">
      <alignment horizontal="center" vertical="center"/>
    </xf>
    <xf numFmtId="5" fontId="34" fillId="11" borderId="26" xfId="1" applyNumberFormat="1" applyFont="1" applyFill="1" applyBorder="1" applyAlignment="1">
      <alignment horizontal="center" vertical="center"/>
    </xf>
    <xf numFmtId="9" fontId="27" fillId="2" borderId="37" xfId="2" applyFont="1" applyFill="1" applyBorder="1" applyAlignment="1">
      <alignment horizontal="center" vertical="center" wrapText="1"/>
    </xf>
    <xf numFmtId="9" fontId="27" fillId="2" borderId="38" xfId="2" applyFont="1" applyFill="1" applyBorder="1" applyAlignment="1">
      <alignment horizontal="center" vertical="center" wrapText="1"/>
    </xf>
    <xf numFmtId="5" fontId="34" fillId="11" borderId="30" xfId="1" applyNumberFormat="1" applyFont="1" applyFill="1" applyBorder="1" applyAlignment="1">
      <alignment horizontal="center" vertical="center"/>
    </xf>
    <xf numFmtId="0" fontId="37" fillId="13" borderId="15" xfId="1" applyNumberFormat="1" applyFont="1" applyFill="1" applyBorder="1" applyAlignment="1">
      <alignment horizontal="center" vertical="center"/>
    </xf>
    <xf numFmtId="0" fontId="37" fillId="13" borderId="65" xfId="1" applyNumberFormat="1" applyFont="1" applyFill="1" applyBorder="1" applyAlignment="1">
      <alignment horizontal="center" vertical="center"/>
    </xf>
    <xf numFmtId="0" fontId="37" fillId="13" borderId="17" xfId="1" applyNumberFormat="1" applyFont="1" applyFill="1" applyBorder="1" applyAlignment="1">
      <alignment horizontal="center" vertical="center"/>
    </xf>
    <xf numFmtId="0" fontId="37" fillId="13" borderId="28" xfId="1" applyNumberFormat="1" applyFont="1" applyFill="1" applyBorder="1" applyAlignment="1">
      <alignment horizontal="center" vertical="center"/>
    </xf>
    <xf numFmtId="3" fontId="38" fillId="13" borderId="32" xfId="1" applyNumberFormat="1" applyFont="1" applyFill="1" applyBorder="1" applyAlignment="1">
      <alignment horizontal="center" vertical="center"/>
    </xf>
    <xf numFmtId="3" fontId="38" fillId="13" borderId="30" xfId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right" wrapText="1"/>
    </xf>
    <xf numFmtId="0" fontId="39" fillId="2" borderId="15" xfId="1" applyNumberFormat="1" applyFont="1" applyFill="1" applyBorder="1" applyAlignment="1">
      <alignment horizontal="center" vertical="center"/>
    </xf>
    <xf numFmtId="0" fontId="39" fillId="2" borderId="43" xfId="1" applyNumberFormat="1" applyFont="1" applyFill="1" applyBorder="1" applyAlignment="1">
      <alignment horizontal="center" vertical="center"/>
    </xf>
    <xf numFmtId="0" fontId="39" fillId="2" borderId="16" xfId="1" applyNumberFormat="1" applyFont="1" applyFill="1" applyBorder="1" applyAlignment="1">
      <alignment horizontal="center" vertical="center"/>
    </xf>
    <xf numFmtId="0" fontId="39" fillId="2" borderId="17" xfId="1" applyNumberFormat="1" applyFont="1" applyFill="1" applyBorder="1" applyAlignment="1">
      <alignment horizontal="center" vertical="center"/>
    </xf>
    <xf numFmtId="0" fontId="39" fillId="2" borderId="64" xfId="1" applyNumberFormat="1" applyFont="1" applyFill="1" applyBorder="1" applyAlignment="1">
      <alignment horizontal="center" vertical="center"/>
    </xf>
    <xf numFmtId="0" fontId="39" fillId="2" borderId="18" xfId="1" applyNumberFormat="1" applyFont="1" applyFill="1" applyBorder="1" applyAlignment="1">
      <alignment horizontal="center" vertical="center"/>
    </xf>
    <xf numFmtId="0" fontId="35" fillId="2" borderId="15" xfId="1" applyNumberFormat="1" applyFont="1" applyFill="1" applyBorder="1" applyAlignment="1">
      <alignment horizontal="center" vertical="center"/>
    </xf>
    <xf numFmtId="0" fontId="35" fillId="2" borderId="65" xfId="1" applyNumberFormat="1" applyFont="1" applyFill="1" applyBorder="1" applyAlignment="1">
      <alignment horizontal="center" vertical="center"/>
    </xf>
    <xf numFmtId="0" fontId="35" fillId="2" borderId="17" xfId="1" applyNumberFormat="1" applyFont="1" applyFill="1" applyBorder="1" applyAlignment="1">
      <alignment horizontal="center" vertical="center"/>
    </xf>
    <xf numFmtId="0" fontId="35" fillId="2" borderId="28" xfId="1" applyNumberFormat="1" applyFont="1" applyFill="1" applyBorder="1" applyAlignment="1">
      <alignment horizontal="center" vertical="center"/>
    </xf>
    <xf numFmtId="164" fontId="36" fillId="2" borderId="32" xfId="1" applyNumberFormat="1" applyFont="1" applyFill="1" applyBorder="1" applyAlignment="1">
      <alignment horizontal="center" vertical="center"/>
    </xf>
    <xf numFmtId="164" fontId="36" fillId="2" borderId="30" xfId="1" applyNumberFormat="1" applyFont="1" applyFill="1" applyBorder="1" applyAlignment="1">
      <alignment horizontal="center" vertical="center"/>
    </xf>
    <xf numFmtId="164" fontId="33" fillId="2" borderId="32" xfId="1" applyNumberFormat="1" applyFont="1" applyFill="1" applyBorder="1" applyAlignment="1">
      <alignment horizontal="center" vertical="center"/>
    </xf>
    <xf numFmtId="44" fontId="33" fillId="2" borderId="26" xfId="1" applyFont="1" applyFill="1" applyBorder="1" applyAlignment="1">
      <alignment horizontal="center" vertical="center"/>
    </xf>
    <xf numFmtId="0" fontId="25" fillId="2" borderId="0" xfId="0" applyFont="1" applyFill="1" applyAlignment="1">
      <alignment horizontal="right" vertical="center"/>
    </xf>
    <xf numFmtId="0" fontId="32" fillId="11" borderId="15" xfId="0" applyFont="1" applyFill="1" applyBorder="1" applyAlignment="1">
      <alignment horizontal="center" vertical="center" wrapText="1"/>
    </xf>
    <xf numFmtId="0" fontId="32" fillId="11" borderId="43" xfId="0" applyFont="1" applyFill="1" applyBorder="1" applyAlignment="1">
      <alignment horizontal="center" vertical="center" wrapText="1"/>
    </xf>
    <xf numFmtId="0" fontId="32" fillId="11" borderId="16" xfId="0" applyFont="1" applyFill="1" applyBorder="1" applyAlignment="1">
      <alignment horizontal="center" vertical="center" wrapText="1"/>
    </xf>
    <xf numFmtId="0" fontId="32" fillId="11" borderId="60" xfId="0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32" fillId="11" borderId="61" xfId="0" applyFont="1" applyFill="1" applyBorder="1" applyAlignment="1">
      <alignment horizontal="center" vertical="center" wrapText="1"/>
    </xf>
    <xf numFmtId="0" fontId="32" fillId="11" borderId="17" xfId="0" applyFont="1" applyFill="1" applyBorder="1" applyAlignment="1">
      <alignment horizontal="center" vertical="center" wrapText="1"/>
    </xf>
    <xf numFmtId="0" fontId="32" fillId="11" borderId="64" xfId="0" applyFont="1" applyFill="1" applyBorder="1" applyAlignment="1">
      <alignment horizontal="center" vertical="center" wrapText="1"/>
    </xf>
    <xf numFmtId="0" fontId="32" fillId="11" borderId="18" xfId="0" applyFont="1" applyFill="1" applyBorder="1" applyAlignment="1">
      <alignment horizontal="center" vertical="center" wrapText="1"/>
    </xf>
    <xf numFmtId="164" fontId="33" fillId="2" borderId="30" xfId="1" applyNumberFormat="1" applyFont="1" applyFill="1" applyBorder="1" applyAlignment="1">
      <alignment horizontal="center" vertical="center"/>
    </xf>
    <xf numFmtId="0" fontId="22" fillId="2" borderId="15" xfId="1" applyNumberFormat="1" applyFont="1" applyFill="1" applyBorder="1" applyAlignment="1">
      <alignment horizontal="center" vertical="center"/>
    </xf>
    <xf numFmtId="0" fontId="22" fillId="2" borderId="65" xfId="1" applyNumberFormat="1" applyFont="1" applyFill="1" applyBorder="1" applyAlignment="1">
      <alignment horizontal="center" vertical="center"/>
    </xf>
    <xf numFmtId="0" fontId="22" fillId="2" borderId="17" xfId="1" applyNumberFormat="1" applyFont="1" applyFill="1" applyBorder="1" applyAlignment="1">
      <alignment horizontal="center" vertical="center"/>
    </xf>
    <xf numFmtId="0" fontId="22" fillId="2" borderId="28" xfId="1" applyNumberFormat="1" applyFont="1" applyFill="1" applyBorder="1" applyAlignment="1">
      <alignment horizontal="center" vertical="center"/>
    </xf>
    <xf numFmtId="164" fontId="33" fillId="2" borderId="26" xfId="1" applyNumberFormat="1" applyFont="1" applyFill="1" applyBorder="1" applyAlignment="1">
      <alignment horizontal="center" vertical="center"/>
    </xf>
    <xf numFmtId="164" fontId="34" fillId="11" borderId="32" xfId="1" applyNumberFormat="1" applyFont="1" applyFill="1" applyBorder="1" applyAlignment="1">
      <alignment horizontal="center" vertical="center"/>
    </xf>
    <xf numFmtId="164" fontId="34" fillId="11" borderId="30" xfId="1" applyNumberFormat="1" applyFont="1" applyFill="1" applyBorder="1" applyAlignment="1">
      <alignment horizontal="center" vertical="center"/>
    </xf>
    <xf numFmtId="0" fontId="30" fillId="4" borderId="33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0" fillId="0" borderId="0" xfId="0" applyFont="1" applyFill="1" applyBorder="1" applyAlignment="1">
      <alignment horizontal="right" vertical="center"/>
    </xf>
    <xf numFmtId="0" fontId="0" fillId="2" borderId="60" xfId="0" applyFill="1" applyBorder="1" applyAlignment="1">
      <alignment horizontal="center" vertical="center"/>
    </xf>
    <xf numFmtId="9" fontId="14" fillId="2" borderId="61" xfId="2" applyFont="1" applyFill="1" applyBorder="1" applyAlignment="1">
      <alignment horizontal="center" vertical="center" wrapText="1"/>
    </xf>
    <xf numFmtId="0" fontId="13" fillId="7" borderId="60" xfId="0" applyFont="1" applyFill="1" applyBorder="1" applyAlignment="1">
      <alignment horizontal="center" vertical="center"/>
    </xf>
    <xf numFmtId="44" fontId="0" fillId="2" borderId="60" xfId="1" applyFont="1" applyFill="1" applyBorder="1" applyAlignment="1">
      <alignment horizontal="center" vertical="center"/>
    </xf>
    <xf numFmtId="44" fontId="0" fillId="2" borderId="17" xfId="1" applyFont="1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9" fontId="14" fillId="2" borderId="18" xfId="2" applyFont="1" applyFill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43" fillId="2" borderId="43" xfId="0" applyFont="1" applyFill="1" applyBorder="1" applyAlignment="1">
      <alignment horizontal="center" vertical="center" wrapText="1"/>
    </xf>
    <xf numFmtId="0" fontId="43" fillId="2" borderId="16" xfId="0" applyFont="1" applyFill="1" applyBorder="1" applyAlignment="1">
      <alignment horizontal="center" vertical="center" wrapText="1"/>
    </xf>
    <xf numFmtId="0" fontId="43" fillId="2" borderId="60" xfId="0" applyFont="1" applyFill="1" applyBorder="1" applyAlignment="1">
      <alignment horizontal="center" vertical="center" wrapText="1"/>
    </xf>
    <xf numFmtId="0" fontId="43" fillId="2" borderId="0" xfId="0" applyFont="1" applyFill="1" applyBorder="1" applyAlignment="1">
      <alignment horizontal="center" vertical="center" wrapText="1"/>
    </xf>
    <xf numFmtId="0" fontId="43" fillId="2" borderId="61" xfId="0" applyFont="1" applyFill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0" fontId="43" fillId="2" borderId="64" xfId="0" applyFont="1" applyFill="1" applyBorder="1" applyAlignment="1">
      <alignment horizontal="center" vertical="center" wrapText="1"/>
    </xf>
    <xf numFmtId="0" fontId="43" fillId="2" borderId="18" xfId="0" applyFont="1" applyFill="1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2A8FF"/>
      <color rgb="FF06CF78"/>
      <color rgb="FF87FF72"/>
      <color rgb="FFF8CBAD"/>
      <color rgb="FFFF7F79"/>
      <color rgb="FF00CF75"/>
      <color rgb="FFFFE699"/>
      <color rgb="FFE2EFDA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45992</xdr:colOff>
      <xdr:row>77</xdr:row>
      <xdr:rowOff>108427</xdr:rowOff>
    </xdr:from>
    <xdr:to>
      <xdr:col>13</xdr:col>
      <xdr:colOff>1198606</xdr:colOff>
      <xdr:row>87</xdr:row>
      <xdr:rowOff>157751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1C4EB-B32C-7E40-BB49-E5A0CF55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0071837" y="18936982"/>
          <a:ext cx="2589324" cy="4312374"/>
        </a:xfrm>
        <a:prstGeom prst="rect">
          <a:avLst/>
        </a:prstGeom>
      </xdr:spPr>
    </xdr:pic>
    <xdr:clientData/>
  </xdr:twoCellAnchor>
  <xdr:twoCellAnchor editAs="oneCell">
    <xdr:from>
      <xdr:col>7</xdr:col>
      <xdr:colOff>345440</xdr:colOff>
      <xdr:row>55</xdr:row>
      <xdr:rowOff>10161</xdr:rowOff>
    </xdr:from>
    <xdr:to>
      <xdr:col>8</xdr:col>
      <xdr:colOff>772160</xdr:colOff>
      <xdr:row>56</xdr:row>
      <xdr:rowOff>206127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9C74D5-530A-AF4D-9A50-8CCF477C2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040" y="14107161"/>
          <a:ext cx="1760220" cy="449966"/>
        </a:xfrm>
        <a:prstGeom prst="rect">
          <a:avLst/>
        </a:prstGeom>
      </xdr:spPr>
    </xdr:pic>
    <xdr:clientData/>
  </xdr:twoCellAnchor>
  <xdr:twoCellAnchor editAs="oneCell">
    <xdr:from>
      <xdr:col>12</xdr:col>
      <xdr:colOff>51333</xdr:colOff>
      <xdr:row>3</xdr:row>
      <xdr:rowOff>30480</xdr:rowOff>
    </xdr:from>
    <xdr:to>
      <xdr:col>14</xdr:col>
      <xdr:colOff>12956</xdr:colOff>
      <xdr:row>12</xdr:row>
      <xdr:rowOff>13296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3E5690-2B52-6E97-CECB-631E5FCA4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8133" y="924560"/>
          <a:ext cx="2278103" cy="2268816"/>
        </a:xfrm>
        <a:prstGeom prst="rect">
          <a:avLst/>
        </a:prstGeom>
      </xdr:spPr>
    </xdr:pic>
    <xdr:clientData/>
  </xdr:twoCellAnchor>
  <xdr:twoCellAnchor editAs="oneCell">
    <xdr:from>
      <xdr:col>5</xdr:col>
      <xdr:colOff>142239</xdr:colOff>
      <xdr:row>79</xdr:row>
      <xdr:rowOff>10160</xdr:rowOff>
    </xdr:from>
    <xdr:to>
      <xdr:col>10</xdr:col>
      <xdr:colOff>182050</xdr:colOff>
      <xdr:row>86</xdr:row>
      <xdr:rowOff>200469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DBD904C-021C-C263-189F-8BBDB70E9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7759" y="20208240"/>
          <a:ext cx="4408611" cy="1968309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13</xdr:row>
      <xdr:rowOff>20320</xdr:rowOff>
    </xdr:from>
    <xdr:to>
      <xdr:col>9</xdr:col>
      <xdr:colOff>579120</xdr:colOff>
      <xdr:row>20</xdr:row>
      <xdr:rowOff>227682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6DFF35-F27B-0780-356B-1A119EC39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06720" y="3454400"/>
          <a:ext cx="3362960" cy="19853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571499</xdr:colOff>
      <xdr:row>0</xdr:row>
      <xdr:rowOff>0</xdr:rowOff>
    </xdr:from>
    <xdr:to>
      <xdr:col>3</xdr:col>
      <xdr:colOff>702732</xdr:colOff>
      <xdr:row>4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8EBA4F1-47D9-BA4D-9EEB-BED03BE4B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899" y="0"/>
          <a:ext cx="3585633" cy="97790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1676400</xdr:colOff>
      <xdr:row>38</xdr:row>
      <xdr:rowOff>177800</xdr:rowOff>
    </xdr:from>
    <xdr:to>
      <xdr:col>1</xdr:col>
      <xdr:colOff>38100</xdr:colOff>
      <xdr:row>40</xdr:row>
      <xdr:rowOff>50800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ECCCAF2-86FB-604B-A3CD-CA3364311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8318500"/>
          <a:ext cx="292100" cy="29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3CE7-AC85-3141-B02F-FC594E85299A}">
  <sheetPr>
    <pageSetUpPr fitToPage="1"/>
  </sheetPr>
  <dimension ref="A1:U90"/>
  <sheetViews>
    <sheetView tabSelected="1" topLeftCell="D19" zoomScale="125" zoomScaleNormal="125" workbookViewId="0">
      <selection activeCell="Y28" sqref="Y28"/>
    </sheetView>
  </sheetViews>
  <sheetFormatPr baseColWidth="10" defaultRowHeight="16" x14ac:dyDescent="0.2"/>
  <cols>
    <col min="1" max="1" width="6.83203125" customWidth="1"/>
    <col min="3" max="3" width="11.1640625" style="23" bestFit="1" customWidth="1"/>
    <col min="4" max="4" width="22.6640625" style="7" bestFit="1" customWidth="1"/>
    <col min="5" max="5" width="11.5" style="8" bestFit="1" customWidth="1"/>
    <col min="6" max="6" width="8.5" style="7" bestFit="1" customWidth="1"/>
    <col min="7" max="7" width="5.83203125" style="7" customWidth="1"/>
    <col min="8" max="8" width="17.5" style="7" bestFit="1" customWidth="1"/>
    <col min="9" max="9" width="14" style="8" bestFit="1" customWidth="1"/>
    <col min="10" max="10" width="11.5" style="7" bestFit="1" customWidth="1"/>
    <col min="11" max="11" width="9" style="7" bestFit="1" customWidth="1"/>
    <col min="12" max="12" width="18" style="7" bestFit="1" customWidth="1"/>
    <col min="13" max="13" width="14.33203125" style="7" bestFit="1" customWidth="1"/>
    <col min="14" max="14" width="16" style="8" bestFit="1" customWidth="1"/>
    <col min="15" max="15" width="11" style="7" bestFit="1" customWidth="1"/>
    <col min="16" max="16" width="6.83203125" customWidth="1"/>
    <col min="21" max="21" width="12" bestFit="1" customWidth="1"/>
  </cols>
  <sheetData>
    <row r="1" spans="1:20" ht="30" customHeight="1" thickBot="1" x14ac:dyDescent="0.25">
      <c r="A1" s="28"/>
      <c r="B1" s="28"/>
      <c r="E1" s="42"/>
      <c r="I1" s="42"/>
      <c r="N1" s="42"/>
    </row>
    <row r="2" spans="1:20" ht="20" customHeight="1" thickBot="1" x14ac:dyDescent="0.25">
      <c r="A2" s="28"/>
      <c r="B2" s="28"/>
      <c r="C2" s="22"/>
      <c r="D2" s="255" t="s">
        <v>49</v>
      </c>
      <c r="E2" s="256"/>
      <c r="F2" s="1"/>
      <c r="G2" s="1"/>
      <c r="H2" s="91" t="s">
        <v>0</v>
      </c>
      <c r="I2" s="38">
        <f>SUM(E11)</f>
        <v>0</v>
      </c>
      <c r="J2" s="1"/>
      <c r="K2" s="1"/>
      <c r="L2" s="1"/>
      <c r="M2" s="3"/>
      <c r="N2" s="2"/>
      <c r="O2" s="1"/>
    </row>
    <row r="3" spans="1:20" ht="20" customHeight="1" thickBot="1" x14ac:dyDescent="0.25">
      <c r="A3" s="28"/>
      <c r="B3" s="28"/>
      <c r="C3" s="22" t="str">
        <f>(M32)</f>
        <v>-</v>
      </c>
      <c r="D3" s="66" t="s">
        <v>38</v>
      </c>
      <c r="E3" s="49">
        <v>0</v>
      </c>
      <c r="F3" s="1"/>
      <c r="G3" s="1"/>
      <c r="H3" s="92" t="s">
        <v>1</v>
      </c>
      <c r="I3" s="31">
        <f>SUM(+E31+E49+E63+E89+E43+E19+E70)</f>
        <v>0</v>
      </c>
      <c r="J3" s="24" t="e">
        <f>SUM(F19+F43+F89+F63+F49+F31+F70)</f>
        <v>#DIV/0!</v>
      </c>
      <c r="K3" s="232" t="s">
        <v>2</v>
      </c>
      <c r="L3" s="233"/>
      <c r="M3" s="1"/>
      <c r="N3" s="2"/>
      <c r="O3" s="1"/>
      <c r="P3" s="228" t="s">
        <v>153</v>
      </c>
      <c r="Q3" s="228"/>
      <c r="R3" s="228"/>
      <c r="S3" s="228"/>
      <c r="T3" s="228"/>
    </row>
    <row r="4" spans="1:20" ht="20" customHeight="1" thickBot="1" x14ac:dyDescent="0.25">
      <c r="A4" s="28"/>
      <c r="B4" s="28"/>
      <c r="C4" s="22" t="str">
        <f>(M41)</f>
        <v>-</v>
      </c>
      <c r="D4" s="67" t="s">
        <v>38</v>
      </c>
      <c r="E4" s="46">
        <v>0</v>
      </c>
      <c r="F4" s="1"/>
      <c r="G4" s="1"/>
      <c r="H4" s="389" t="s">
        <v>187</v>
      </c>
      <c r="I4" s="39">
        <f>SUM(I2-I3)</f>
        <v>0</v>
      </c>
      <c r="J4" s="40" t="e">
        <f>SUM(I4/I2)</f>
        <v>#DIV/0!</v>
      </c>
      <c r="K4" s="234" t="s">
        <v>3</v>
      </c>
      <c r="L4" s="235"/>
      <c r="M4" s="1"/>
      <c r="N4" s="2"/>
      <c r="O4" s="1"/>
      <c r="P4" s="228"/>
      <c r="Q4" s="228"/>
      <c r="R4" s="228"/>
      <c r="S4" s="228"/>
      <c r="T4" s="228"/>
    </row>
    <row r="5" spans="1:20" ht="20" customHeight="1" thickBot="1" x14ac:dyDescent="0.25">
      <c r="A5" s="28"/>
      <c r="B5" s="28"/>
      <c r="C5" s="22"/>
      <c r="D5" s="67" t="s">
        <v>104</v>
      </c>
      <c r="E5" s="46">
        <v>0</v>
      </c>
      <c r="F5" s="1"/>
      <c r="G5" s="1"/>
      <c r="H5" s="97" t="s">
        <v>120</v>
      </c>
      <c r="I5" s="98">
        <f>SUM(I3*12)</f>
        <v>0</v>
      </c>
      <c r="J5" s="37"/>
      <c r="K5" s="1"/>
      <c r="L5" s="1"/>
      <c r="M5" s="236"/>
      <c r="N5" s="237"/>
      <c r="O5" s="237"/>
      <c r="P5" s="229" t="s">
        <v>158</v>
      </c>
      <c r="Q5" s="229"/>
      <c r="R5" s="229"/>
      <c r="S5" s="229"/>
      <c r="T5" s="229"/>
    </row>
    <row r="6" spans="1:20" ht="20" customHeight="1" thickBot="1" x14ac:dyDescent="0.25">
      <c r="A6" s="28"/>
      <c r="B6" s="28"/>
      <c r="C6" s="22"/>
      <c r="D6" s="67" t="s">
        <v>75</v>
      </c>
      <c r="E6" s="46">
        <v>0</v>
      </c>
      <c r="F6" s="1"/>
      <c r="G6" s="1"/>
      <c r="H6" s="70"/>
      <c r="I6" s="10"/>
      <c r="J6" s="37"/>
      <c r="K6" s="198" t="s">
        <v>180</v>
      </c>
      <c r="L6" s="199" t="s">
        <v>46</v>
      </c>
      <c r="M6" s="237"/>
      <c r="N6" s="237"/>
      <c r="O6" s="237"/>
      <c r="P6" s="229"/>
      <c r="Q6" s="229"/>
      <c r="R6" s="229"/>
      <c r="S6" s="229"/>
      <c r="T6" s="229"/>
    </row>
    <row r="7" spans="1:20" ht="20" customHeight="1" x14ac:dyDescent="0.2">
      <c r="A7" s="28"/>
      <c r="B7" s="28"/>
      <c r="C7" s="22" t="str">
        <f>(M32)</f>
        <v>-</v>
      </c>
      <c r="D7" s="67" t="s">
        <v>59</v>
      </c>
      <c r="E7" s="46">
        <f>SUM(E6*N57)</f>
        <v>0</v>
      </c>
      <c r="F7" s="1"/>
      <c r="G7" s="1"/>
      <c r="H7" s="96" t="s">
        <v>53</v>
      </c>
      <c r="I7" s="94" t="s">
        <v>115</v>
      </c>
      <c r="J7" s="37"/>
      <c r="K7" s="200" t="s">
        <v>181</v>
      </c>
      <c r="L7" s="201" t="s">
        <v>182</v>
      </c>
      <c r="M7" s="238"/>
      <c r="N7" s="238"/>
      <c r="O7" s="238"/>
      <c r="P7" s="215"/>
      <c r="Q7" s="215"/>
      <c r="R7" s="215"/>
      <c r="S7" s="215"/>
      <c r="T7" s="215"/>
    </row>
    <row r="8" spans="1:20" ht="20" customHeight="1" thickBot="1" x14ac:dyDescent="0.35">
      <c r="A8" s="28"/>
      <c r="B8" s="28"/>
      <c r="C8" s="22"/>
      <c r="D8" s="67" t="s">
        <v>74</v>
      </c>
      <c r="E8" s="46">
        <v>0</v>
      </c>
      <c r="F8" s="36"/>
      <c r="G8" s="1"/>
      <c r="H8" s="93">
        <v>0</v>
      </c>
      <c r="I8" s="95" t="s">
        <v>116</v>
      </c>
      <c r="J8" s="1"/>
      <c r="K8" s="202" t="s">
        <v>183</v>
      </c>
      <c r="L8" s="203" t="s">
        <v>184</v>
      </c>
      <c r="M8" s="239"/>
      <c r="N8" s="239"/>
      <c r="O8" s="239"/>
      <c r="P8" s="215"/>
      <c r="Q8" s="215"/>
      <c r="R8" s="215"/>
      <c r="S8" s="215"/>
      <c r="T8" s="215"/>
    </row>
    <row r="9" spans="1:20" ht="20" customHeight="1" thickBot="1" x14ac:dyDescent="0.25">
      <c r="A9" s="28"/>
      <c r="B9" s="28"/>
      <c r="C9" s="22" t="str">
        <f>(M32)</f>
        <v>-</v>
      </c>
      <c r="D9" s="67" t="s">
        <v>27</v>
      </c>
      <c r="E9" s="46">
        <v>0</v>
      </c>
      <c r="F9" s="36"/>
      <c r="G9" s="1"/>
      <c r="H9" s="1"/>
      <c r="I9" s="2"/>
      <c r="J9" s="1"/>
      <c r="K9" s="204" t="s">
        <v>5</v>
      </c>
      <c r="L9" s="205" t="s">
        <v>45</v>
      </c>
      <c r="M9" s="313"/>
      <c r="N9" s="313"/>
      <c r="O9" s="313"/>
      <c r="P9" s="215"/>
      <c r="Q9" s="215"/>
      <c r="R9" s="215"/>
      <c r="S9" s="215"/>
      <c r="T9" s="215"/>
    </row>
    <row r="10" spans="1:20" ht="20" customHeight="1" thickBot="1" x14ac:dyDescent="0.25">
      <c r="A10" s="28"/>
      <c r="B10" s="28"/>
      <c r="C10" s="22" t="str">
        <f>(M41)</f>
        <v>-</v>
      </c>
      <c r="D10" s="89" t="s">
        <v>99</v>
      </c>
      <c r="E10" s="47">
        <v>0</v>
      </c>
      <c r="F10" s="12"/>
      <c r="G10" s="1"/>
      <c r="H10" s="260" t="s">
        <v>107</v>
      </c>
      <c r="I10" s="261"/>
      <c r="J10" s="1"/>
      <c r="K10" s="206" t="s">
        <v>53</v>
      </c>
      <c r="L10" s="207" t="s">
        <v>54</v>
      </c>
      <c r="M10" s="238"/>
      <c r="N10" s="238"/>
      <c r="O10" s="238"/>
      <c r="P10" s="215"/>
      <c r="Q10" s="215"/>
      <c r="R10" s="215"/>
      <c r="S10" s="215"/>
      <c r="T10" s="215"/>
    </row>
    <row r="11" spans="1:20" ht="20" customHeight="1" thickBot="1" x14ac:dyDescent="0.25">
      <c r="A11" s="28"/>
      <c r="B11" s="28"/>
      <c r="C11" s="22"/>
      <c r="D11" s="83" t="s">
        <v>0</v>
      </c>
      <c r="E11" s="48">
        <f>SUM(E3+E4+E6+E8+E9+E5)-E7</f>
        <v>0</v>
      </c>
      <c r="F11" s="12"/>
      <c r="G11" s="1"/>
      <c r="H11" s="262"/>
      <c r="I11" s="263"/>
      <c r="J11" s="1"/>
      <c r="K11" s="208" t="s">
        <v>185</v>
      </c>
      <c r="L11" s="209" t="s">
        <v>52</v>
      </c>
      <c r="M11" s="1"/>
      <c r="N11" s="10"/>
      <c r="O11" s="1"/>
      <c r="P11" s="215"/>
      <c r="Q11" s="215"/>
      <c r="R11" s="215"/>
      <c r="S11" s="215"/>
      <c r="T11" s="215"/>
    </row>
    <row r="12" spans="1:20" ht="20" customHeight="1" thickBot="1" x14ac:dyDescent="0.25">
      <c r="A12" s="28"/>
      <c r="B12" s="28"/>
      <c r="C12" s="22"/>
      <c r="D12" s="1"/>
      <c r="E12" s="2"/>
      <c r="F12" s="1"/>
      <c r="G12" s="1"/>
      <c r="H12" s="135" t="str">
        <f>(M32)</f>
        <v>-</v>
      </c>
      <c r="I12" s="136"/>
      <c r="J12" s="13">
        <f>SUM(I4/4)</f>
        <v>0</v>
      </c>
      <c r="K12" s="210" t="s">
        <v>98</v>
      </c>
      <c r="L12" s="211" t="s">
        <v>99</v>
      </c>
      <c r="M12" s="1"/>
      <c r="N12" s="10"/>
      <c r="O12" s="1"/>
      <c r="P12" s="215"/>
      <c r="Q12" s="215"/>
      <c r="R12" s="215"/>
      <c r="S12" s="215"/>
      <c r="T12" s="215"/>
    </row>
    <row r="13" spans="1:20" ht="20" customHeight="1" thickBot="1" x14ac:dyDescent="0.25">
      <c r="A13" s="28"/>
      <c r="B13" s="28"/>
      <c r="C13" s="22"/>
      <c r="D13" s="255" t="s">
        <v>48</v>
      </c>
      <c r="E13" s="256"/>
      <c r="F13" s="1"/>
      <c r="G13" s="1"/>
      <c r="H13" s="135" t="str">
        <f>(M41)</f>
        <v>-</v>
      </c>
      <c r="I13" s="136"/>
      <c r="J13" s="1"/>
      <c r="K13" s="1"/>
      <c r="L13" s="1"/>
      <c r="M13" s="1"/>
      <c r="N13" s="2"/>
      <c r="O13" s="1"/>
      <c r="P13" s="215"/>
      <c r="Q13" s="215"/>
      <c r="R13" s="215"/>
      <c r="S13" s="215"/>
      <c r="T13" s="215"/>
    </row>
    <row r="14" spans="1:20" ht="20" customHeight="1" thickBot="1" x14ac:dyDescent="0.25">
      <c r="A14" s="28"/>
      <c r="B14" s="28"/>
      <c r="C14" s="22"/>
      <c r="D14" s="86" t="s">
        <v>4</v>
      </c>
      <c r="E14" s="49">
        <v>0</v>
      </c>
      <c r="G14" s="1"/>
      <c r="H14" s="1"/>
      <c r="I14" s="2"/>
      <c r="J14" s="1"/>
      <c r="K14" s="77" t="s">
        <v>102</v>
      </c>
      <c r="L14" s="77">
        <v>1</v>
      </c>
      <c r="M14" s="78">
        <v>0</v>
      </c>
      <c r="N14" s="79" t="s">
        <v>103</v>
      </c>
      <c r="O14" s="1"/>
      <c r="P14" s="215"/>
      <c r="Q14" s="215"/>
      <c r="R14" s="215"/>
      <c r="S14" s="215"/>
      <c r="T14" s="215"/>
    </row>
    <row r="15" spans="1:20" ht="20" customHeight="1" thickBot="1" x14ac:dyDescent="0.25">
      <c r="A15" s="28"/>
      <c r="B15" s="28"/>
      <c r="C15" s="22"/>
      <c r="D15" s="87" t="s">
        <v>58</v>
      </c>
      <c r="E15" s="46">
        <v>0</v>
      </c>
      <c r="F15" s="74" t="s">
        <v>112</v>
      </c>
      <c r="G15" s="1"/>
      <c r="H15" s="1"/>
      <c r="I15" s="2"/>
      <c r="J15" s="1"/>
      <c r="K15" s="284" t="s">
        <v>100</v>
      </c>
      <c r="L15" s="285"/>
      <c r="M15" s="80" t="e">
        <f>SUM(N15/M14)</f>
        <v>#DIV/0!</v>
      </c>
      <c r="N15" s="81">
        <v>0</v>
      </c>
      <c r="O15" s="1"/>
      <c r="P15" s="215"/>
      <c r="Q15" s="215"/>
      <c r="R15" s="215"/>
      <c r="S15" s="215"/>
      <c r="T15" s="215"/>
    </row>
    <row r="16" spans="1:20" ht="20" customHeight="1" thickBot="1" x14ac:dyDescent="0.25">
      <c r="A16" s="28"/>
      <c r="B16" s="28"/>
      <c r="C16" s="22"/>
      <c r="D16" s="87" t="s">
        <v>67</v>
      </c>
      <c r="E16" s="46">
        <v>0</v>
      </c>
      <c r="F16" s="75">
        <v>0</v>
      </c>
      <c r="G16" s="1"/>
      <c r="H16" s="1"/>
      <c r="I16" s="2"/>
      <c r="J16" s="1"/>
      <c r="K16" s="284" t="s">
        <v>114</v>
      </c>
      <c r="L16" s="285"/>
      <c r="M16" s="80" t="e">
        <f>SUM(N16/M14)</f>
        <v>#DIV/0!</v>
      </c>
      <c r="N16" s="81">
        <v>0</v>
      </c>
      <c r="O16" s="1"/>
      <c r="P16" s="215"/>
      <c r="Q16" s="215"/>
      <c r="R16" s="215"/>
      <c r="S16" s="215"/>
      <c r="T16" s="215"/>
    </row>
    <row r="17" spans="1:21" ht="20" customHeight="1" x14ac:dyDescent="0.2">
      <c r="A17" s="28"/>
      <c r="B17" s="28"/>
      <c r="C17" s="22"/>
      <c r="D17" s="87" t="s">
        <v>6</v>
      </c>
      <c r="E17" s="46">
        <v>0</v>
      </c>
      <c r="F17" s="1"/>
      <c r="G17" s="1"/>
      <c r="H17" s="1"/>
      <c r="I17" s="2"/>
      <c r="J17" s="1"/>
      <c r="K17" s="286" t="s">
        <v>101</v>
      </c>
      <c r="L17" s="287"/>
      <c r="M17" s="190" t="e">
        <f>SUM(N17/M14)</f>
        <v>#DIV/0!</v>
      </c>
      <c r="N17" s="191">
        <v>0</v>
      </c>
      <c r="O17" s="1"/>
      <c r="P17" s="215"/>
      <c r="Q17" s="215"/>
      <c r="R17" s="215"/>
      <c r="S17" s="215"/>
      <c r="T17" s="215"/>
    </row>
    <row r="18" spans="1:21" ht="20" customHeight="1" thickBot="1" x14ac:dyDescent="0.25">
      <c r="A18" s="28"/>
      <c r="B18" s="28"/>
      <c r="C18" s="22"/>
      <c r="D18" s="88" t="s">
        <v>137</v>
      </c>
      <c r="E18" s="50">
        <v>0</v>
      </c>
      <c r="F18" s="1"/>
      <c r="G18" s="1"/>
      <c r="H18" s="1"/>
      <c r="I18" s="2"/>
      <c r="J18" s="1"/>
      <c r="K18" s="314"/>
      <c r="L18" s="314"/>
      <c r="M18" s="37"/>
      <c r="N18" s="192"/>
      <c r="O18" s="1"/>
      <c r="P18" s="215"/>
      <c r="Q18" s="215"/>
      <c r="R18" s="215"/>
      <c r="S18" s="215"/>
      <c r="T18" s="215"/>
    </row>
    <row r="19" spans="1:21" ht="20" customHeight="1" thickBot="1" x14ac:dyDescent="0.25">
      <c r="A19" s="28"/>
      <c r="B19" s="28"/>
      <c r="C19" s="22"/>
      <c r="D19" s="84" t="s">
        <v>9</v>
      </c>
      <c r="E19" s="21">
        <f>SUM(E14+E17+E18)</f>
        <v>0</v>
      </c>
      <c r="F19" s="41" t="e">
        <f>SUM(E19/I2)</f>
        <v>#DIV/0!</v>
      </c>
      <c r="G19" s="1"/>
      <c r="H19" s="1"/>
      <c r="I19" s="2"/>
      <c r="J19" s="1"/>
      <c r="K19" s="1"/>
      <c r="L19" s="1"/>
      <c r="M19" s="1"/>
      <c r="N19" s="193"/>
      <c r="O19" s="1"/>
      <c r="P19" s="215"/>
      <c r="Q19" s="215"/>
      <c r="R19" s="215"/>
      <c r="S19" s="215"/>
      <c r="T19" s="215"/>
    </row>
    <row r="20" spans="1:21" ht="20" customHeight="1" thickBot="1" x14ac:dyDescent="0.25">
      <c r="A20" s="28"/>
      <c r="B20" s="28"/>
      <c r="C20" s="22"/>
      <c r="D20" s="6"/>
      <c r="E20" s="2"/>
      <c r="F20" s="1"/>
      <c r="G20" s="1"/>
      <c r="H20" s="1"/>
      <c r="I20" s="2"/>
      <c r="J20" s="12"/>
      <c r="K20" s="304" t="s">
        <v>8</v>
      </c>
      <c r="L20" s="305"/>
      <c r="M20" s="305"/>
      <c r="N20" s="306"/>
      <c r="O20" s="1"/>
      <c r="P20" s="215"/>
      <c r="Q20" s="215"/>
      <c r="R20" s="215"/>
      <c r="S20" s="215"/>
      <c r="T20" s="215"/>
    </row>
    <row r="21" spans="1:21" ht="20" customHeight="1" thickBot="1" x14ac:dyDescent="0.25">
      <c r="A21" s="28"/>
      <c r="B21" s="28"/>
      <c r="C21" s="22"/>
      <c r="D21" s="255" t="s">
        <v>24</v>
      </c>
      <c r="E21" s="256"/>
      <c r="F21" s="1"/>
      <c r="G21" s="1"/>
      <c r="H21" s="1"/>
      <c r="I21" s="2"/>
      <c r="J21" s="12"/>
      <c r="K21" s="307"/>
      <c r="L21" s="308"/>
      <c r="M21" s="308"/>
      <c r="N21" s="309"/>
      <c r="O21" s="1"/>
      <c r="P21" s="215"/>
      <c r="Q21" s="215"/>
      <c r="R21" s="215"/>
      <c r="S21" s="215"/>
      <c r="T21" s="215"/>
    </row>
    <row r="22" spans="1:21" ht="20" customHeight="1" thickBot="1" x14ac:dyDescent="0.25">
      <c r="A22" s="28"/>
      <c r="B22" s="28"/>
      <c r="C22" s="22"/>
      <c r="D22" s="66" t="s">
        <v>87</v>
      </c>
      <c r="E22" s="49">
        <v>0</v>
      </c>
      <c r="F22" s="1"/>
      <c r="G22" s="1"/>
      <c r="H22" s="240" t="s">
        <v>7</v>
      </c>
      <c r="I22" s="242"/>
      <c r="J22" s="12"/>
      <c r="K22" s="194" t="s">
        <v>34</v>
      </c>
      <c r="L22" s="195" t="str">
        <f>(M32)</f>
        <v>-</v>
      </c>
      <c r="M22" s="196">
        <f>SUM(M34*M35)</f>
        <v>0</v>
      </c>
      <c r="N22" s="197" t="s">
        <v>62</v>
      </c>
      <c r="O22" s="25">
        <f>SUM(M22-20500)</f>
        <v>-20500</v>
      </c>
      <c r="P22" s="215"/>
      <c r="Q22" s="215"/>
      <c r="R22" s="215"/>
      <c r="S22" s="215"/>
      <c r="T22" s="215"/>
    </row>
    <row r="23" spans="1:21" ht="20" customHeight="1" x14ac:dyDescent="0.2">
      <c r="A23" s="28"/>
      <c r="B23" s="28"/>
      <c r="C23" s="22"/>
      <c r="D23" s="67" t="s">
        <v>25</v>
      </c>
      <c r="E23" s="46">
        <v>0</v>
      </c>
      <c r="F23" s="29"/>
      <c r="G23" s="1"/>
      <c r="H23" s="62" t="s">
        <v>58</v>
      </c>
      <c r="I23" s="4">
        <f>(E15)</f>
        <v>0</v>
      </c>
      <c r="J23" s="12"/>
      <c r="K23" s="30" t="s">
        <v>34</v>
      </c>
      <c r="L23" s="19"/>
      <c r="M23" s="53">
        <f>SUM(M43*M44)</f>
        <v>0</v>
      </c>
      <c r="N23" s="35" t="s">
        <v>62</v>
      </c>
      <c r="O23" s="25">
        <f>SUM(M23-20500)</f>
        <v>-20500</v>
      </c>
      <c r="P23" s="215"/>
      <c r="Q23" s="215"/>
      <c r="R23" s="215"/>
      <c r="S23" s="215"/>
      <c r="T23" s="215"/>
    </row>
    <row r="24" spans="1:21" ht="20" customHeight="1" x14ac:dyDescent="0.2">
      <c r="A24" s="28"/>
      <c r="B24" s="28"/>
      <c r="C24" s="22"/>
      <c r="D24" s="67" t="s">
        <v>83</v>
      </c>
      <c r="E24" s="46">
        <v>0</v>
      </c>
      <c r="F24" s="1"/>
      <c r="G24" s="1"/>
      <c r="H24" s="44" t="s">
        <v>131</v>
      </c>
      <c r="I24" s="54">
        <v>0</v>
      </c>
      <c r="J24" s="12"/>
      <c r="K24" s="30" t="s">
        <v>35</v>
      </c>
      <c r="L24" s="19"/>
      <c r="M24" s="53">
        <f>SUM(E59)*12</f>
        <v>0</v>
      </c>
      <c r="N24" s="54" t="s">
        <v>11</v>
      </c>
      <c r="O24" s="25">
        <f>SUM(M24-6000)</f>
        <v>-6000</v>
      </c>
      <c r="P24" s="215"/>
      <c r="Q24" s="215"/>
      <c r="R24" s="215"/>
      <c r="S24" s="215"/>
      <c r="T24" s="215"/>
    </row>
    <row r="25" spans="1:21" ht="20" customHeight="1" x14ac:dyDescent="0.2">
      <c r="A25" s="28"/>
      <c r="B25" s="28"/>
      <c r="C25" s="22"/>
      <c r="D25" s="67" t="s">
        <v>81</v>
      </c>
      <c r="E25" s="46">
        <v>0</v>
      </c>
      <c r="F25" s="1"/>
      <c r="G25" s="1"/>
      <c r="H25" s="44" t="s">
        <v>131</v>
      </c>
      <c r="I25" s="54">
        <v>0</v>
      </c>
      <c r="J25" s="12"/>
      <c r="K25" s="30" t="s">
        <v>35</v>
      </c>
      <c r="L25" s="19" t="str">
        <f>(M41)</f>
        <v>-</v>
      </c>
      <c r="M25" s="53">
        <f>SUM(E60)*12</f>
        <v>0</v>
      </c>
      <c r="N25" s="54" t="s">
        <v>11</v>
      </c>
      <c r="O25" s="25">
        <f>SUM(M25-6000)</f>
        <v>-6000</v>
      </c>
      <c r="P25" s="215"/>
      <c r="Q25" s="215"/>
      <c r="R25" s="215"/>
      <c r="S25" s="215"/>
      <c r="T25" s="215"/>
    </row>
    <row r="26" spans="1:21" ht="20" customHeight="1" x14ac:dyDescent="0.2">
      <c r="A26" s="28"/>
      <c r="B26" s="28"/>
      <c r="C26" s="22"/>
      <c r="D26" s="67" t="s">
        <v>135</v>
      </c>
      <c r="E26" s="46">
        <v>0</v>
      </c>
      <c r="F26" s="29"/>
      <c r="G26" s="1"/>
      <c r="H26" s="44" t="s">
        <v>108</v>
      </c>
      <c r="I26" s="54">
        <v>0</v>
      </c>
      <c r="J26" s="12"/>
      <c r="K26" s="30" t="s">
        <v>36</v>
      </c>
      <c r="L26" s="19"/>
      <c r="M26" s="53">
        <f>SUM(E61)*12</f>
        <v>0</v>
      </c>
      <c r="N26" s="54" t="s">
        <v>11</v>
      </c>
      <c r="O26" s="32" t="s">
        <v>47</v>
      </c>
      <c r="P26" s="215"/>
      <c r="Q26" s="215"/>
      <c r="R26" s="215"/>
      <c r="S26" s="215"/>
      <c r="T26" s="215"/>
    </row>
    <row r="27" spans="1:21" ht="20" customHeight="1" x14ac:dyDescent="0.2">
      <c r="A27" s="28"/>
      <c r="B27" s="28"/>
      <c r="C27" s="22"/>
      <c r="D27" s="67" t="s">
        <v>136</v>
      </c>
      <c r="E27" s="46">
        <v>0</v>
      </c>
      <c r="F27" s="1"/>
      <c r="G27" s="1"/>
      <c r="H27" s="44" t="s">
        <v>132</v>
      </c>
      <c r="I27" s="54">
        <v>0</v>
      </c>
      <c r="J27" s="12"/>
      <c r="K27" s="288" t="s">
        <v>159</v>
      </c>
      <c r="L27" s="289"/>
      <c r="M27" s="53">
        <f>SUM(E74*12)</f>
        <v>0</v>
      </c>
      <c r="N27" s="54" t="s">
        <v>11</v>
      </c>
      <c r="O27" s="32" t="s">
        <v>47</v>
      </c>
      <c r="P27" s="215"/>
      <c r="Q27" s="215"/>
      <c r="R27" s="215"/>
      <c r="S27" s="215"/>
      <c r="T27" s="215"/>
    </row>
    <row r="28" spans="1:21" ht="20" customHeight="1" x14ac:dyDescent="0.2">
      <c r="A28" s="28"/>
      <c r="B28" s="28"/>
      <c r="C28" s="22"/>
      <c r="D28" s="67" t="s">
        <v>128</v>
      </c>
      <c r="E28" s="46">
        <v>0</v>
      </c>
      <c r="F28" s="1"/>
      <c r="G28" s="1"/>
      <c r="H28" s="44" t="s">
        <v>109</v>
      </c>
      <c r="I28" s="54">
        <v>0</v>
      </c>
      <c r="J28" s="12"/>
      <c r="K28" s="288" t="s">
        <v>117</v>
      </c>
      <c r="L28" s="289"/>
      <c r="M28" s="53">
        <f>SUM(E62*12)</f>
        <v>0</v>
      </c>
      <c r="N28" s="54" t="s">
        <v>11</v>
      </c>
      <c r="O28" s="32" t="s">
        <v>47</v>
      </c>
      <c r="P28" s="215"/>
      <c r="Q28" s="215"/>
      <c r="R28" s="215"/>
      <c r="S28" s="215"/>
      <c r="T28" s="215"/>
    </row>
    <row r="29" spans="1:21" ht="20" customHeight="1" thickBot="1" x14ac:dyDescent="0.25">
      <c r="A29" s="28"/>
      <c r="B29" s="28"/>
      <c r="C29" s="22"/>
      <c r="D29" s="67" t="s">
        <v>88</v>
      </c>
      <c r="E29" s="46">
        <v>0</v>
      </c>
      <c r="F29" s="29"/>
      <c r="G29" s="1"/>
      <c r="H29" s="44" t="s">
        <v>106</v>
      </c>
      <c r="I29" s="54">
        <v>0</v>
      </c>
      <c r="J29" s="12"/>
      <c r="K29" s="302" t="s">
        <v>118</v>
      </c>
      <c r="L29" s="303"/>
      <c r="M29" s="18">
        <f>(E52)*12</f>
        <v>0</v>
      </c>
      <c r="N29" s="5" t="s">
        <v>11</v>
      </c>
      <c r="O29" s="32" t="s">
        <v>47</v>
      </c>
      <c r="P29" s="408"/>
      <c r="Q29" s="409"/>
      <c r="R29" s="409"/>
      <c r="S29" s="409"/>
      <c r="T29" s="409"/>
      <c r="U29" s="409"/>
    </row>
    <row r="30" spans="1:21" ht="20" customHeight="1" thickBot="1" x14ac:dyDescent="0.25">
      <c r="A30" s="28"/>
      <c r="B30" s="28"/>
      <c r="C30" s="22"/>
      <c r="D30" s="82" t="s">
        <v>77</v>
      </c>
      <c r="E30" s="50">
        <v>0</v>
      </c>
      <c r="F30" s="1"/>
      <c r="G30" s="1"/>
      <c r="H30" s="44" t="s">
        <v>110</v>
      </c>
      <c r="I30" s="54">
        <v>0</v>
      </c>
      <c r="J30" s="12"/>
      <c r="K30" s="26" t="s">
        <v>12</v>
      </c>
      <c r="L30" s="27"/>
      <c r="M30" s="20">
        <f>SUM(M22:M29)</f>
        <v>0</v>
      </c>
      <c r="N30" s="21" t="s">
        <v>13</v>
      </c>
      <c r="O30" s="1"/>
      <c r="P30" s="408"/>
      <c r="Q30" s="409"/>
      <c r="R30" s="409"/>
      <c r="S30" s="409"/>
      <c r="T30" s="409"/>
      <c r="U30" s="409"/>
    </row>
    <row r="31" spans="1:21" ht="20" customHeight="1" thickBot="1" x14ac:dyDescent="0.25">
      <c r="A31" s="28"/>
      <c r="B31" s="28"/>
      <c r="C31" s="22"/>
      <c r="D31" s="84" t="s">
        <v>26</v>
      </c>
      <c r="E31" s="21">
        <f>SUM(E22:E30)</f>
        <v>0</v>
      </c>
      <c r="F31" s="14" t="e">
        <f>SUM(E31/I2)</f>
        <v>#DIV/0!</v>
      </c>
      <c r="G31" s="1"/>
      <c r="H31" s="44" t="s">
        <v>105</v>
      </c>
      <c r="I31" s="54">
        <v>0</v>
      </c>
      <c r="J31" s="12"/>
      <c r="K31" s="1"/>
      <c r="L31" s="1"/>
      <c r="M31" s="1"/>
      <c r="N31" s="2"/>
      <c r="O31" s="1"/>
      <c r="P31" s="408"/>
      <c r="Q31" s="409"/>
      <c r="R31" s="409"/>
      <c r="S31" s="409"/>
      <c r="T31" s="409"/>
      <c r="U31" s="409"/>
    </row>
    <row r="32" spans="1:21" ht="20" customHeight="1" thickBot="1" x14ac:dyDescent="0.3">
      <c r="A32" s="28"/>
      <c r="B32" s="28"/>
      <c r="C32" s="22"/>
      <c r="D32" s="1"/>
      <c r="E32" s="2"/>
      <c r="F32" s="1"/>
      <c r="G32" s="1"/>
      <c r="H32" s="58" t="s">
        <v>37</v>
      </c>
      <c r="I32" s="9">
        <f>(E53)</f>
        <v>0</v>
      </c>
      <c r="J32" s="1"/>
      <c r="K32" s="1"/>
      <c r="L32" s="90" t="s">
        <v>30</v>
      </c>
      <c r="M32" s="310" t="s">
        <v>186</v>
      </c>
      <c r="N32" s="311"/>
      <c r="O32" s="1"/>
      <c r="P32" s="416"/>
      <c r="Q32" s="414"/>
      <c r="R32" s="414"/>
      <c r="S32" s="414"/>
      <c r="T32" s="414"/>
      <c r="U32" s="414"/>
    </row>
    <row r="33" spans="1:21" ht="20" customHeight="1" thickBot="1" x14ac:dyDescent="0.25">
      <c r="A33" s="28"/>
      <c r="B33" s="28"/>
      <c r="C33" s="22"/>
      <c r="D33" s="257" t="s">
        <v>10</v>
      </c>
      <c r="E33" s="258"/>
      <c r="F33" s="1"/>
      <c r="G33" s="1"/>
      <c r="H33" s="130" t="s">
        <v>14</v>
      </c>
      <c r="I33" s="11">
        <f>SUM(I23:I32)</f>
        <v>0</v>
      </c>
      <c r="J33" s="1"/>
      <c r="K33" s="1"/>
      <c r="L33" s="33" t="s">
        <v>31</v>
      </c>
      <c r="M33" s="71"/>
      <c r="N33" s="69"/>
      <c r="O33" s="1"/>
      <c r="P33" s="410"/>
      <c r="Q33" s="411"/>
      <c r="R33" s="411"/>
      <c r="S33" s="411"/>
      <c r="T33" s="411"/>
      <c r="U33" s="412"/>
    </row>
    <row r="34" spans="1:21" ht="20" customHeight="1" thickBot="1" x14ac:dyDescent="0.25">
      <c r="A34" s="28"/>
      <c r="B34" s="28"/>
      <c r="C34" s="22" t="str">
        <f>(M32)</f>
        <v>-</v>
      </c>
      <c r="D34" s="85" t="s">
        <v>39</v>
      </c>
      <c r="E34" s="45">
        <v>0</v>
      </c>
      <c r="F34" s="1"/>
      <c r="G34" s="1"/>
      <c r="H34" s="1"/>
      <c r="I34" s="2"/>
      <c r="J34" s="1"/>
      <c r="K34" s="1"/>
      <c r="L34" s="33" t="s">
        <v>32</v>
      </c>
      <c r="M34" s="216">
        <v>0</v>
      </c>
      <c r="N34" s="217"/>
      <c r="O34" s="1"/>
      <c r="P34" s="413"/>
      <c r="Q34" s="414"/>
      <c r="R34" s="414"/>
      <c r="S34" s="414"/>
      <c r="T34" s="414"/>
      <c r="U34" s="415"/>
    </row>
    <row r="35" spans="1:21" ht="20" customHeight="1" thickBot="1" x14ac:dyDescent="0.25">
      <c r="A35" s="28"/>
      <c r="B35" s="28"/>
      <c r="C35" s="22" t="str">
        <f>(M32)</f>
        <v>-</v>
      </c>
      <c r="D35" s="67" t="s">
        <v>40</v>
      </c>
      <c r="E35" s="46">
        <v>0</v>
      </c>
      <c r="F35" s="1"/>
      <c r="G35" s="1"/>
      <c r="H35" s="240" t="s">
        <v>16</v>
      </c>
      <c r="I35" s="242"/>
      <c r="J35" s="1"/>
      <c r="K35" s="1"/>
      <c r="L35" s="33" t="s">
        <v>33</v>
      </c>
      <c r="M35" s="55">
        <v>0</v>
      </c>
      <c r="N35" s="56" t="s">
        <v>95</v>
      </c>
      <c r="O35" s="1"/>
    </row>
    <row r="36" spans="1:21" ht="20" customHeight="1" thickBot="1" x14ac:dyDescent="0.25">
      <c r="A36" s="28"/>
      <c r="B36" s="28"/>
      <c r="C36" s="22" t="str">
        <f>(M32)</f>
        <v>-</v>
      </c>
      <c r="D36" s="67" t="s">
        <v>41</v>
      </c>
      <c r="E36" s="46">
        <v>0</v>
      </c>
      <c r="F36" s="1"/>
      <c r="G36" s="1"/>
      <c r="H36" s="62" t="s">
        <v>4</v>
      </c>
      <c r="I36" s="4">
        <f>(E16)</f>
        <v>0</v>
      </c>
      <c r="J36" s="1"/>
      <c r="K36" s="1"/>
      <c r="L36" s="33" t="s">
        <v>97</v>
      </c>
      <c r="M36" s="55">
        <v>0</v>
      </c>
      <c r="N36" s="56"/>
      <c r="O36" s="1"/>
    </row>
    <row r="37" spans="1:21" ht="20" customHeight="1" thickBot="1" x14ac:dyDescent="0.25">
      <c r="A37" s="28"/>
      <c r="B37" s="28"/>
      <c r="C37" s="22"/>
      <c r="D37" s="160" t="s">
        <v>133</v>
      </c>
      <c r="E37" s="111">
        <v>0</v>
      </c>
      <c r="F37" s="300" t="s">
        <v>53</v>
      </c>
      <c r="G37" s="1"/>
      <c r="H37" s="63" t="s">
        <v>29</v>
      </c>
      <c r="I37" s="15">
        <f>SUM(E66+E68)</f>
        <v>0</v>
      </c>
      <c r="J37" s="1"/>
      <c r="K37" s="1"/>
      <c r="L37" s="33" t="s">
        <v>60</v>
      </c>
      <c r="M37" s="245"/>
      <c r="N37" s="246"/>
      <c r="O37" s="1"/>
      <c r="Q37" s="129"/>
    </row>
    <row r="38" spans="1:21" ht="20" customHeight="1" thickBot="1" x14ac:dyDescent="0.25">
      <c r="A38" s="28"/>
      <c r="B38" s="28"/>
      <c r="C38" s="22"/>
      <c r="D38" s="160" t="s">
        <v>134</v>
      </c>
      <c r="E38" s="111">
        <v>0</v>
      </c>
      <c r="F38" s="301"/>
      <c r="G38" s="1"/>
      <c r="H38" s="130" t="s">
        <v>17</v>
      </c>
      <c r="I38" s="11">
        <f>SUM(I36:I37)</f>
        <v>0</v>
      </c>
      <c r="J38" s="1"/>
      <c r="K38" s="1"/>
      <c r="L38" s="57" t="s">
        <v>61</v>
      </c>
      <c r="M38" s="312"/>
      <c r="N38" s="246"/>
      <c r="O38" s="12">
        <f>SUM(M34+M43)</f>
        <v>0</v>
      </c>
      <c r="Q38" s="224" t="s">
        <v>154</v>
      </c>
      <c r="R38" s="225"/>
      <c r="S38" s="147" t="s">
        <v>155</v>
      </c>
      <c r="T38" s="147" t="s">
        <v>156</v>
      </c>
      <c r="U38" s="148" t="s">
        <v>157</v>
      </c>
    </row>
    <row r="39" spans="1:21" ht="20" customHeight="1" thickBot="1" x14ac:dyDescent="0.25">
      <c r="A39" s="28"/>
      <c r="B39" s="28"/>
      <c r="C39" s="22"/>
      <c r="D39" s="85" t="s">
        <v>122</v>
      </c>
      <c r="E39" s="46">
        <v>0</v>
      </c>
      <c r="F39" s="1"/>
      <c r="G39" s="1"/>
      <c r="H39" s="1"/>
      <c r="I39" s="2"/>
      <c r="J39" s="1"/>
      <c r="K39" s="1"/>
      <c r="L39" s="72" t="s">
        <v>89</v>
      </c>
      <c r="M39" s="218"/>
      <c r="N39" s="219"/>
      <c r="O39" s="1"/>
      <c r="Q39" s="226"/>
      <c r="R39" s="227"/>
      <c r="S39" s="149"/>
      <c r="T39" s="150"/>
      <c r="U39" s="151"/>
    </row>
    <row r="40" spans="1:21" ht="20" customHeight="1" thickBot="1" x14ac:dyDescent="0.25">
      <c r="A40" s="28"/>
      <c r="B40" s="28"/>
      <c r="C40" s="22" t="str">
        <f>(M41)</f>
        <v>-</v>
      </c>
      <c r="D40" s="85" t="s">
        <v>39</v>
      </c>
      <c r="E40" s="46">
        <v>0</v>
      </c>
      <c r="F40" s="1"/>
      <c r="G40" s="1"/>
      <c r="H40" s="240" t="s">
        <v>18</v>
      </c>
      <c r="I40" s="242"/>
      <c r="J40" s="1"/>
      <c r="K40" s="1"/>
      <c r="L40" s="73" t="s">
        <v>90</v>
      </c>
      <c r="M40" s="327"/>
      <c r="N40" s="328"/>
      <c r="O40" s="1"/>
      <c r="Q40" s="222"/>
      <c r="R40" s="223"/>
      <c r="S40" s="152"/>
      <c r="T40" s="153"/>
      <c r="U40" s="154"/>
    </row>
    <row r="41" spans="1:21" ht="20" customHeight="1" x14ac:dyDescent="0.25">
      <c r="A41" s="28"/>
      <c r="B41" s="28"/>
      <c r="C41" s="22" t="str">
        <f>(M41)</f>
        <v>-</v>
      </c>
      <c r="D41" s="67" t="s">
        <v>40</v>
      </c>
      <c r="E41" s="46">
        <v>0</v>
      </c>
      <c r="F41" s="1"/>
      <c r="G41" s="1"/>
      <c r="H41" s="290">
        <f>SUM(I33-I38)</f>
        <v>0</v>
      </c>
      <c r="I41" s="291"/>
      <c r="J41" s="1"/>
      <c r="K41" s="1"/>
      <c r="L41" s="59" t="s">
        <v>30</v>
      </c>
      <c r="M41" s="310" t="s">
        <v>186</v>
      </c>
      <c r="N41" s="311"/>
      <c r="O41" s="1"/>
      <c r="Q41" s="222"/>
      <c r="R41" s="223"/>
      <c r="S41" s="152"/>
      <c r="T41" s="153"/>
      <c r="U41" s="154"/>
    </row>
    <row r="42" spans="1:21" ht="20" customHeight="1" thickBot="1" x14ac:dyDescent="0.25">
      <c r="A42" s="28"/>
      <c r="B42" s="28"/>
      <c r="C42" s="22" t="str">
        <f>(M41)</f>
        <v>-</v>
      </c>
      <c r="D42" s="67" t="s">
        <v>41</v>
      </c>
      <c r="E42" s="47">
        <v>0</v>
      </c>
      <c r="F42" s="1"/>
      <c r="G42" s="1"/>
      <c r="H42" s="292"/>
      <c r="I42" s="293"/>
      <c r="J42" s="1"/>
      <c r="K42" s="1"/>
      <c r="L42" s="33" t="s">
        <v>31</v>
      </c>
      <c r="M42" s="71"/>
      <c r="N42" s="69"/>
      <c r="O42" s="1"/>
      <c r="Q42" s="222"/>
      <c r="R42" s="223"/>
      <c r="S42" s="152"/>
      <c r="T42" s="153"/>
      <c r="U42" s="154"/>
    </row>
    <row r="43" spans="1:21" ht="20" customHeight="1" thickBot="1" x14ac:dyDescent="0.25">
      <c r="A43" s="28"/>
      <c r="B43" s="28"/>
      <c r="C43" s="22"/>
      <c r="D43" s="83" t="s">
        <v>15</v>
      </c>
      <c r="E43" s="48">
        <f>SUM(E34:E42)</f>
        <v>0</v>
      </c>
      <c r="F43" s="14" t="e">
        <f>SUM(E43/I2)</f>
        <v>#DIV/0!</v>
      </c>
      <c r="G43" s="1"/>
      <c r="H43" s="99"/>
      <c r="I43" s="99"/>
      <c r="J43" s="1"/>
      <c r="K43" s="1"/>
      <c r="L43" s="33" t="s">
        <v>32</v>
      </c>
      <c r="M43" s="216">
        <v>0</v>
      </c>
      <c r="N43" s="217"/>
      <c r="O43" s="1"/>
      <c r="Q43" s="222"/>
      <c r="R43" s="223"/>
      <c r="S43" s="152"/>
      <c r="T43" s="153"/>
      <c r="U43" s="154"/>
    </row>
    <row r="44" spans="1:21" ht="20" customHeight="1" thickBot="1" x14ac:dyDescent="0.25">
      <c r="A44" s="28"/>
      <c r="B44" s="28"/>
      <c r="C44" s="22"/>
      <c r="D44" s="1"/>
      <c r="E44" s="2"/>
      <c r="F44" s="1"/>
      <c r="G44" s="1"/>
      <c r="H44" s="294" t="s">
        <v>151</v>
      </c>
      <c r="I44" s="295"/>
      <c r="J44" s="1"/>
      <c r="K44" s="1"/>
      <c r="L44" s="33" t="s">
        <v>33</v>
      </c>
      <c r="M44" s="55">
        <v>0</v>
      </c>
      <c r="N44" s="56" t="s">
        <v>95</v>
      </c>
      <c r="O44" s="1"/>
      <c r="Q44" s="222"/>
      <c r="R44" s="223"/>
      <c r="S44" s="152"/>
      <c r="T44" s="153"/>
      <c r="U44" s="154"/>
    </row>
    <row r="45" spans="1:21" ht="20" customHeight="1" thickBot="1" x14ac:dyDescent="0.25">
      <c r="A45" s="28"/>
      <c r="B45" s="28"/>
      <c r="C45" s="22"/>
      <c r="D45" s="257" t="s">
        <v>80</v>
      </c>
      <c r="E45" s="258"/>
      <c r="F45" s="1"/>
      <c r="G45" s="1"/>
      <c r="H45" s="296"/>
      <c r="I45" s="297"/>
      <c r="J45" s="1"/>
      <c r="K45" s="1"/>
      <c r="L45" s="33" t="s">
        <v>97</v>
      </c>
      <c r="M45" s="55">
        <v>0</v>
      </c>
      <c r="N45" s="56"/>
      <c r="O45" s="1"/>
      <c r="Q45" s="222"/>
      <c r="R45" s="223"/>
      <c r="S45" s="152"/>
      <c r="T45" s="153"/>
      <c r="U45" s="154"/>
    </row>
    <row r="46" spans="1:21" ht="20" customHeight="1" thickBot="1" x14ac:dyDescent="0.25">
      <c r="A46" s="28"/>
      <c r="B46" s="28"/>
      <c r="C46" s="22"/>
      <c r="D46" s="85" t="s">
        <v>22</v>
      </c>
      <c r="E46" s="45">
        <v>0</v>
      </c>
      <c r="F46" s="1"/>
      <c r="G46" s="1"/>
      <c r="H46" s="298"/>
      <c r="I46" s="299"/>
      <c r="J46" s="1"/>
      <c r="K46" s="1"/>
      <c r="L46" s="33" t="s">
        <v>60</v>
      </c>
      <c r="M46" s="245"/>
      <c r="N46" s="246"/>
      <c r="O46" s="1"/>
      <c r="Q46" s="222"/>
      <c r="R46" s="223"/>
      <c r="S46" s="152"/>
      <c r="T46" s="153"/>
      <c r="U46" s="154"/>
    </row>
    <row r="47" spans="1:21" ht="20" customHeight="1" x14ac:dyDescent="0.2">
      <c r="A47" s="28"/>
      <c r="B47" s="28"/>
      <c r="C47" s="22"/>
      <c r="D47" s="67" t="s">
        <v>55</v>
      </c>
      <c r="E47" s="46">
        <v>0</v>
      </c>
      <c r="F47" s="1"/>
      <c r="G47" s="1"/>
      <c r="H47" s="137" t="str">
        <f>(M32)</f>
        <v>-</v>
      </c>
      <c r="I47" s="138"/>
      <c r="J47" s="1"/>
      <c r="K47" s="1"/>
      <c r="L47" s="57" t="s">
        <v>61</v>
      </c>
      <c r="M47" s="245"/>
      <c r="N47" s="246"/>
      <c r="O47" s="1"/>
      <c r="Q47" s="222"/>
      <c r="R47" s="223"/>
      <c r="S47" s="152"/>
      <c r="T47" s="153"/>
      <c r="U47" s="154"/>
    </row>
    <row r="48" spans="1:21" ht="20" customHeight="1" thickBot="1" x14ac:dyDescent="0.25">
      <c r="A48" s="28"/>
      <c r="B48" s="28"/>
      <c r="C48" s="22"/>
      <c r="D48" s="68" t="s">
        <v>179</v>
      </c>
      <c r="E48" s="47">
        <v>0</v>
      </c>
      <c r="F48" s="1"/>
      <c r="G48" s="1"/>
      <c r="H48" s="139" t="str">
        <f>M41</f>
        <v>-</v>
      </c>
      <c r="I48" s="140"/>
      <c r="J48" s="1"/>
      <c r="K48" s="16"/>
      <c r="L48" s="72" t="s">
        <v>89</v>
      </c>
      <c r="M48" s="245"/>
      <c r="N48" s="246"/>
      <c r="O48" s="1"/>
      <c r="Q48" s="220"/>
      <c r="R48" s="221"/>
      <c r="S48" s="155"/>
      <c r="T48" s="156"/>
      <c r="U48" s="157"/>
    </row>
    <row r="49" spans="1:21" ht="20" customHeight="1" thickBot="1" x14ac:dyDescent="0.25">
      <c r="A49" s="28"/>
      <c r="B49" s="28"/>
      <c r="C49" s="22"/>
      <c r="D49" s="83" t="s">
        <v>23</v>
      </c>
      <c r="E49" s="11">
        <f>SUM(E46:E48)</f>
        <v>0</v>
      </c>
      <c r="F49" s="14" t="e">
        <f>SUM(E49/I2)</f>
        <v>#DIV/0!</v>
      </c>
      <c r="G49" s="1"/>
      <c r="H49" s="249" t="s">
        <v>63</v>
      </c>
      <c r="I49" s="250"/>
      <c r="J49" s="1"/>
      <c r="K49" s="16"/>
      <c r="L49" s="128" t="s">
        <v>90</v>
      </c>
      <c r="M49" s="247"/>
      <c r="N49" s="248"/>
      <c r="O49" s="1"/>
      <c r="Q49" s="220"/>
      <c r="R49" s="221"/>
      <c r="S49" s="155">
        <f>SUM(S39:S48)</f>
        <v>0</v>
      </c>
      <c r="T49" s="158"/>
      <c r="U49" s="157">
        <f>SUM(U39:U48)</f>
        <v>0</v>
      </c>
    </row>
    <row r="50" spans="1:21" ht="20" customHeight="1" thickBot="1" x14ac:dyDescent="0.25">
      <c r="A50" s="28"/>
      <c r="B50" s="28"/>
      <c r="C50" s="22"/>
      <c r="D50" s="1"/>
      <c r="E50" s="2"/>
      <c r="F50" s="1"/>
      <c r="G50" s="1"/>
      <c r="H50" s="251">
        <v>0</v>
      </c>
      <c r="I50" s="252"/>
      <c r="J50" s="1"/>
      <c r="K50" s="16"/>
      <c r="L50" s="59" t="s">
        <v>85</v>
      </c>
      <c r="M50" s="60"/>
      <c r="N50" s="100"/>
      <c r="O50" s="1"/>
    </row>
    <row r="51" spans="1:21" ht="20" customHeight="1" thickBot="1" x14ac:dyDescent="0.25">
      <c r="A51" s="28"/>
      <c r="B51" s="28"/>
      <c r="C51" s="22"/>
      <c r="D51" s="240" t="s">
        <v>20</v>
      </c>
      <c r="E51" s="242"/>
      <c r="F51" s="1"/>
      <c r="G51" s="1"/>
      <c r="H51" s="253"/>
      <c r="I51" s="254"/>
      <c r="J51" s="1"/>
      <c r="K51" s="16"/>
      <c r="L51" s="33" t="s">
        <v>85</v>
      </c>
      <c r="M51" s="51"/>
      <c r="N51" s="69"/>
      <c r="O51" s="1"/>
    </row>
    <row r="52" spans="1:21" ht="20" customHeight="1" x14ac:dyDescent="0.2">
      <c r="A52" s="28"/>
      <c r="B52" s="28"/>
      <c r="C52" s="22"/>
      <c r="D52" s="66" t="s">
        <v>119</v>
      </c>
      <c r="E52" s="49">
        <v>0</v>
      </c>
      <c r="F52" s="1"/>
      <c r="G52" s="1"/>
      <c r="H52" s="270" t="s">
        <v>76</v>
      </c>
      <c r="I52" s="272">
        <v>0</v>
      </c>
      <c r="J52" s="1"/>
      <c r="K52" s="16"/>
      <c r="L52" s="33" t="s">
        <v>85</v>
      </c>
      <c r="M52" s="51"/>
      <c r="N52" s="69"/>
      <c r="O52" s="1"/>
    </row>
    <row r="53" spans="1:21" ht="20" customHeight="1" thickBot="1" x14ac:dyDescent="0.25">
      <c r="A53" s="28"/>
      <c r="B53" s="28"/>
      <c r="C53" s="22"/>
      <c r="D53" s="67" t="s">
        <v>79</v>
      </c>
      <c r="E53" s="46">
        <v>0</v>
      </c>
      <c r="F53" s="1"/>
      <c r="G53" s="1"/>
      <c r="H53" s="271"/>
      <c r="I53" s="273"/>
      <c r="J53" s="16"/>
      <c r="K53" s="16"/>
      <c r="L53" s="34" t="s">
        <v>85</v>
      </c>
      <c r="M53" s="52"/>
      <c r="N53" s="101"/>
      <c r="O53" s="1"/>
    </row>
    <row r="54" spans="1:21" ht="20" customHeight="1" thickBot="1" x14ac:dyDescent="0.25">
      <c r="A54" s="28"/>
      <c r="B54" s="28"/>
      <c r="C54" s="22" t="str">
        <f>M32</f>
        <v>-</v>
      </c>
      <c r="D54" s="67" t="s">
        <v>42</v>
      </c>
      <c r="E54" s="46">
        <v>0</v>
      </c>
      <c r="F54" s="1"/>
      <c r="G54" s="1"/>
      <c r="H54" s="139" t="s">
        <v>64</v>
      </c>
      <c r="I54" s="141"/>
      <c r="J54" s="16"/>
      <c r="K54" s="16"/>
      <c r="L54" s="1"/>
      <c r="M54" s="1"/>
      <c r="N54" s="2"/>
      <c r="O54" s="1"/>
    </row>
    <row r="55" spans="1:21" ht="20" customHeight="1" thickBot="1" x14ac:dyDescent="0.25">
      <c r="A55" s="28"/>
      <c r="B55" s="28"/>
      <c r="C55" s="22" t="str">
        <f>M32</f>
        <v>-</v>
      </c>
      <c r="D55" s="67" t="s">
        <v>43</v>
      </c>
      <c r="E55" s="46">
        <v>0</v>
      </c>
      <c r="F55" s="1"/>
      <c r="G55" s="1"/>
      <c r="H55" s="1"/>
      <c r="I55" s="2"/>
      <c r="J55" s="1"/>
      <c r="K55" s="16"/>
      <c r="L55" s="322" t="s">
        <v>113</v>
      </c>
      <c r="M55" s="323"/>
      <c r="N55" s="324"/>
      <c r="O55" s="1"/>
    </row>
    <row r="56" spans="1:21" ht="20" customHeight="1" thickBot="1" x14ac:dyDescent="0.25">
      <c r="A56" s="28"/>
      <c r="B56" s="28"/>
      <c r="C56" s="22" t="str">
        <f>M41</f>
        <v>-</v>
      </c>
      <c r="D56" s="67" t="s">
        <v>42</v>
      </c>
      <c r="E56" s="46">
        <v>0</v>
      </c>
      <c r="F56" s="12"/>
      <c r="G56" s="1"/>
      <c r="H56" s="133"/>
      <c r="I56" s="134"/>
      <c r="J56" s="1"/>
      <c r="K56" s="16"/>
      <c r="L56" s="240" t="s">
        <v>86</v>
      </c>
      <c r="M56" s="241"/>
      <c r="N56" s="242"/>
      <c r="O56" s="1"/>
    </row>
    <row r="57" spans="1:21" ht="20" customHeight="1" x14ac:dyDescent="0.2">
      <c r="A57" s="28"/>
      <c r="B57" s="28"/>
      <c r="C57" s="22" t="str">
        <f>M41</f>
        <v>-</v>
      </c>
      <c r="D57" s="67" t="s">
        <v>43</v>
      </c>
      <c r="E57" s="46">
        <v>0</v>
      </c>
      <c r="F57" s="1"/>
      <c r="G57" s="1"/>
      <c r="H57" s="280" t="s">
        <v>152</v>
      </c>
      <c r="I57" s="281"/>
      <c r="J57" s="1"/>
      <c r="K57" s="16"/>
      <c r="L57" s="17" t="s">
        <v>50</v>
      </c>
      <c r="M57" s="76">
        <f>SUM(M34)</f>
        <v>0</v>
      </c>
      <c r="N57" s="243">
        <v>0</v>
      </c>
      <c r="O57" s="1"/>
    </row>
    <row r="58" spans="1:21" ht="20" customHeight="1" thickBot="1" x14ac:dyDescent="0.25">
      <c r="A58" s="28"/>
      <c r="B58" s="28"/>
      <c r="C58" s="22"/>
      <c r="D58" s="67" t="s">
        <v>129</v>
      </c>
      <c r="E58" s="46">
        <v>0</v>
      </c>
      <c r="F58" s="1"/>
      <c r="G58" s="1"/>
      <c r="H58" s="282"/>
      <c r="I58" s="283"/>
      <c r="J58" s="1"/>
      <c r="K58" s="16"/>
      <c r="L58" s="64" t="s">
        <v>51</v>
      </c>
      <c r="M58" s="65">
        <f>SUM(M34+M43)</f>
        <v>0</v>
      </c>
      <c r="N58" s="244"/>
      <c r="O58" s="1"/>
    </row>
    <row r="59" spans="1:21" ht="20" customHeight="1" thickBot="1" x14ac:dyDescent="0.25">
      <c r="A59" s="28"/>
      <c r="B59" s="28"/>
      <c r="C59" s="22" t="str">
        <f>M32</f>
        <v>-</v>
      </c>
      <c r="D59" s="67" t="s">
        <v>56</v>
      </c>
      <c r="E59" s="46">
        <v>0</v>
      </c>
      <c r="F59" s="1"/>
      <c r="G59" s="1"/>
      <c r="H59" s="142" t="str">
        <f>(M32)</f>
        <v>-</v>
      </c>
      <c r="I59" s="143"/>
      <c r="J59" s="1"/>
      <c r="K59" s="1"/>
      <c r="L59" s="1"/>
      <c r="M59" s="1"/>
      <c r="N59" s="2"/>
      <c r="O59" s="1"/>
    </row>
    <row r="60" spans="1:21" ht="20" customHeight="1" thickBot="1" x14ac:dyDescent="0.25">
      <c r="A60" s="28"/>
      <c r="B60" s="28"/>
      <c r="C60" s="22" t="str">
        <f>M41</f>
        <v>-</v>
      </c>
      <c r="D60" s="67" t="s">
        <v>56</v>
      </c>
      <c r="E60" s="46">
        <v>0</v>
      </c>
      <c r="F60" s="1"/>
      <c r="G60" s="1"/>
      <c r="H60" s="144" t="str">
        <f>(M41)</f>
        <v>-</v>
      </c>
      <c r="I60" s="145"/>
      <c r="J60" s="1"/>
      <c r="K60" s="1"/>
      <c r="L60" s="399" t="s">
        <v>188</v>
      </c>
      <c r="M60" s="400"/>
      <c r="N60" s="401"/>
      <c r="O60" s="1"/>
    </row>
    <row r="61" spans="1:21" ht="20" customHeight="1" thickBot="1" x14ac:dyDescent="0.25">
      <c r="A61" s="28"/>
      <c r="B61" s="28"/>
      <c r="C61" s="22" t="str">
        <f>M32</f>
        <v>-</v>
      </c>
      <c r="D61" s="67" t="s">
        <v>57</v>
      </c>
      <c r="E61" s="46">
        <v>0</v>
      </c>
      <c r="F61" s="1"/>
      <c r="G61" s="1"/>
      <c r="H61" s="274" t="s">
        <v>130</v>
      </c>
      <c r="I61" s="275"/>
      <c r="J61" s="1"/>
      <c r="K61" s="1"/>
      <c r="L61" s="402"/>
      <c r="M61" s="403"/>
      <c r="N61" s="404"/>
      <c r="O61" s="1"/>
    </row>
    <row r="62" spans="1:21" ht="20" customHeight="1" thickBot="1" x14ac:dyDescent="0.25">
      <c r="A62" s="28"/>
      <c r="B62" s="28"/>
      <c r="C62" s="22"/>
      <c r="D62" s="109" t="s">
        <v>121</v>
      </c>
      <c r="E62" s="159">
        <v>0</v>
      </c>
      <c r="F62" s="116" t="s">
        <v>53</v>
      </c>
      <c r="G62" s="1"/>
      <c r="H62" s="276">
        <v>0</v>
      </c>
      <c r="I62" s="277"/>
      <c r="J62" s="1"/>
      <c r="K62" s="1"/>
      <c r="L62" s="405"/>
      <c r="M62" s="406"/>
      <c r="N62" s="407"/>
      <c r="O62" s="1"/>
    </row>
    <row r="63" spans="1:21" ht="20" customHeight="1" thickBot="1" x14ac:dyDescent="0.25">
      <c r="A63" s="28"/>
      <c r="B63" s="28"/>
      <c r="C63" s="22"/>
      <c r="D63" s="84" t="s">
        <v>21</v>
      </c>
      <c r="E63" s="21">
        <f>SUM(E54+E55+E56+E57+E52+E59+E60+E61+E62+E58)</f>
        <v>0</v>
      </c>
      <c r="F63" s="41" t="e">
        <f>SUM(E63/I2)</f>
        <v>#DIV/0!</v>
      </c>
      <c r="G63" s="1"/>
      <c r="H63" s="278"/>
      <c r="I63" s="279"/>
      <c r="J63" s="1"/>
      <c r="K63" s="1"/>
      <c r="L63" s="392"/>
      <c r="M63" s="390"/>
      <c r="N63" s="393"/>
      <c r="O63" s="1"/>
    </row>
    <row r="64" spans="1:21" ht="20" customHeight="1" thickBot="1" x14ac:dyDescent="0.25">
      <c r="A64" s="28"/>
      <c r="B64" s="28"/>
      <c r="C64" s="22"/>
      <c r="D64" s="212" t="s">
        <v>178</v>
      </c>
      <c r="E64" s="213">
        <f>SUM(M22:M26)</f>
        <v>0</v>
      </c>
      <c r="F64" s="214" t="e">
        <f>SUM(E64/O38)</f>
        <v>#DIV/0!</v>
      </c>
      <c r="G64" s="1"/>
      <c r="H64" s="266" t="s">
        <v>96</v>
      </c>
      <c r="I64" s="268">
        <v>0</v>
      </c>
      <c r="J64" s="1"/>
      <c r="K64" s="1"/>
      <c r="L64" s="394"/>
      <c r="M64" s="390"/>
      <c r="N64" s="393"/>
      <c r="O64" s="1"/>
    </row>
    <row r="65" spans="1:15" ht="20" customHeight="1" thickBot="1" x14ac:dyDescent="0.25">
      <c r="A65" s="28"/>
      <c r="B65" s="28"/>
      <c r="C65" s="22"/>
      <c r="D65" s="240" t="s">
        <v>68</v>
      </c>
      <c r="E65" s="242"/>
      <c r="F65" s="1"/>
      <c r="G65" s="1"/>
      <c r="H65" s="267"/>
      <c r="I65" s="269"/>
      <c r="J65" s="1"/>
      <c r="K65" s="1"/>
      <c r="L65" s="394"/>
      <c r="M65" s="390"/>
      <c r="N65" s="393"/>
      <c r="O65" s="1"/>
    </row>
    <row r="66" spans="1:15" ht="20" customHeight="1" thickBot="1" x14ac:dyDescent="0.25">
      <c r="A66" s="28"/>
      <c r="B66" s="28"/>
      <c r="C66" s="22"/>
      <c r="D66" s="66" t="s">
        <v>69</v>
      </c>
      <c r="E66" s="49">
        <f>SUM(S49)</f>
        <v>0</v>
      </c>
      <c r="F66" s="1"/>
      <c r="G66" s="1"/>
      <c r="H66" s="144" t="s">
        <v>64</v>
      </c>
      <c r="I66" s="146"/>
      <c r="J66" s="1"/>
      <c r="K66" s="1"/>
      <c r="L66" s="392"/>
      <c r="M66" s="390"/>
      <c r="N66" s="393"/>
      <c r="O66" s="1"/>
    </row>
    <row r="67" spans="1:15" ht="20" customHeight="1" x14ac:dyDescent="0.2">
      <c r="A67" s="28"/>
      <c r="B67" s="28"/>
      <c r="C67" s="22"/>
      <c r="D67" s="67" t="s">
        <v>70</v>
      </c>
      <c r="E67" s="46">
        <f>SUM(U49)</f>
        <v>0</v>
      </c>
      <c r="F67" s="1"/>
      <c r="G67" s="1"/>
      <c r="H67" s="1"/>
      <c r="I67" s="2"/>
      <c r="J67" s="1"/>
      <c r="K67" s="1"/>
      <c r="L67" s="394"/>
      <c r="M67" s="390"/>
      <c r="N67" s="393"/>
      <c r="O67" s="1"/>
    </row>
    <row r="68" spans="1:15" ht="20" customHeight="1" thickBot="1" x14ac:dyDescent="0.25">
      <c r="A68" s="28"/>
      <c r="B68" s="28"/>
      <c r="C68" s="22"/>
      <c r="D68" s="67" t="s">
        <v>71</v>
      </c>
      <c r="E68" s="46">
        <v>0</v>
      </c>
      <c r="F68" s="1"/>
      <c r="G68" s="1"/>
      <c r="H68" s="117"/>
      <c r="I68" s="118"/>
      <c r="J68" s="1"/>
      <c r="K68" s="1"/>
      <c r="L68" s="394"/>
      <c r="M68" s="390"/>
      <c r="N68" s="393"/>
      <c r="O68" s="1"/>
    </row>
    <row r="69" spans="1:15" ht="20" customHeight="1" thickBot="1" x14ac:dyDescent="0.25">
      <c r="A69" s="28"/>
      <c r="B69" s="28"/>
      <c r="C69" s="22"/>
      <c r="D69" s="82" t="s">
        <v>72</v>
      </c>
      <c r="E69" s="50">
        <v>0</v>
      </c>
      <c r="F69" s="1"/>
      <c r="G69" s="1"/>
      <c r="H69" s="319" t="s">
        <v>123</v>
      </c>
      <c r="I69" s="320"/>
      <c r="J69" s="321"/>
      <c r="K69" s="1"/>
      <c r="L69" s="392"/>
      <c r="M69" s="390"/>
      <c r="N69" s="393"/>
      <c r="O69" s="1"/>
    </row>
    <row r="70" spans="1:15" ht="20" customHeight="1" thickBot="1" x14ac:dyDescent="0.25">
      <c r="A70" s="28"/>
      <c r="B70" s="28"/>
      <c r="C70" s="22"/>
      <c r="D70" s="84" t="s">
        <v>73</v>
      </c>
      <c r="E70" s="21">
        <f>SUM(E67+E69)</f>
        <v>0</v>
      </c>
      <c r="F70" s="14" t="e">
        <f>SUM(E70/I2)</f>
        <v>#DIV/0!</v>
      </c>
      <c r="G70" s="1"/>
      <c r="H70" s="102" t="s">
        <v>124</v>
      </c>
      <c r="I70" s="103" t="s">
        <v>127</v>
      </c>
      <c r="J70" s="104" t="s">
        <v>125</v>
      </c>
      <c r="K70" s="1"/>
      <c r="L70" s="394"/>
      <c r="M70" s="390"/>
      <c r="N70" s="393"/>
      <c r="O70" s="1"/>
    </row>
    <row r="71" spans="1:15" ht="20" customHeight="1" thickBot="1" x14ac:dyDescent="0.25">
      <c r="A71" s="28"/>
      <c r="B71" s="28"/>
      <c r="C71" s="22"/>
      <c r="D71" s="1"/>
      <c r="E71" s="2"/>
      <c r="F71" s="1"/>
      <c r="G71" s="1"/>
      <c r="H71" s="105"/>
      <c r="I71" s="112">
        <v>0</v>
      </c>
      <c r="J71" s="106">
        <v>0</v>
      </c>
      <c r="K71" s="119" t="e">
        <f>SUM(J71/I71)</f>
        <v>#DIV/0!</v>
      </c>
      <c r="L71" s="395"/>
      <c r="M71" s="390"/>
      <c r="N71" s="393"/>
      <c r="O71" s="1"/>
    </row>
    <row r="72" spans="1:15" ht="20" customHeight="1" thickBot="1" x14ac:dyDescent="0.25">
      <c r="A72" s="28"/>
      <c r="B72" s="28"/>
      <c r="C72" s="22"/>
      <c r="D72" s="264" t="s">
        <v>150</v>
      </c>
      <c r="E72" s="265"/>
      <c r="F72" s="1"/>
      <c r="G72" s="1"/>
      <c r="H72" s="107"/>
      <c r="I72" s="113">
        <v>0</v>
      </c>
      <c r="J72" s="54">
        <v>0</v>
      </c>
      <c r="K72" s="119" t="e">
        <f t="shared" ref="K72:K74" si="0">SUM(J72/I72)</f>
        <v>#DIV/0!</v>
      </c>
      <c r="L72" s="392"/>
      <c r="M72" s="390"/>
      <c r="N72" s="393"/>
      <c r="O72" s="1"/>
    </row>
    <row r="73" spans="1:15" ht="20" customHeight="1" thickBot="1" x14ac:dyDescent="0.25">
      <c r="A73" s="28"/>
      <c r="B73" s="28"/>
      <c r="C73" s="22"/>
      <c r="D73" s="131" t="s">
        <v>126</v>
      </c>
      <c r="E73" s="132">
        <v>0</v>
      </c>
      <c r="F73" s="116" t="s">
        <v>53</v>
      </c>
      <c r="G73" s="1"/>
      <c r="H73" s="107"/>
      <c r="I73" s="113">
        <v>0</v>
      </c>
      <c r="J73" s="54">
        <v>0</v>
      </c>
      <c r="K73" s="119" t="e">
        <f t="shared" si="0"/>
        <v>#DIV/0!</v>
      </c>
      <c r="L73" s="394"/>
      <c r="M73" s="390"/>
      <c r="N73" s="393"/>
      <c r="O73" s="1"/>
    </row>
    <row r="74" spans="1:15" ht="20" customHeight="1" thickBot="1" x14ac:dyDescent="0.25">
      <c r="A74" s="28"/>
      <c r="B74" s="28"/>
      <c r="C74" s="22"/>
      <c r="D74" s="110" t="s">
        <v>78</v>
      </c>
      <c r="E74" s="111">
        <v>0</v>
      </c>
      <c r="F74" s="116" t="s">
        <v>53</v>
      </c>
      <c r="G74" s="1"/>
      <c r="H74" s="108"/>
      <c r="I74" s="114">
        <v>0</v>
      </c>
      <c r="J74" s="5">
        <v>0</v>
      </c>
      <c r="K74" s="119" t="e">
        <f t="shared" si="0"/>
        <v>#DIV/0!</v>
      </c>
      <c r="L74" s="395"/>
      <c r="M74" s="390"/>
      <c r="N74" s="393"/>
      <c r="O74" s="1"/>
    </row>
    <row r="75" spans="1:15" ht="20" customHeight="1" thickBot="1" x14ac:dyDescent="0.25">
      <c r="A75" s="28"/>
      <c r="B75" s="28"/>
      <c r="C75" s="22"/>
      <c r="D75" s="188" t="s">
        <v>91</v>
      </c>
      <c r="E75" s="189">
        <v>0</v>
      </c>
      <c r="F75" s="116" t="s">
        <v>53</v>
      </c>
      <c r="G75" s="1"/>
      <c r="H75" s="315" t="s">
        <v>126</v>
      </c>
      <c r="I75" s="317">
        <f>SUM(J71:J74)</f>
        <v>0</v>
      </c>
      <c r="J75" s="318"/>
      <c r="K75" s="115"/>
      <c r="L75" s="392"/>
      <c r="M75" s="390"/>
      <c r="N75" s="393"/>
      <c r="O75" s="1"/>
    </row>
    <row r="76" spans="1:15" ht="20" customHeight="1" thickBot="1" x14ac:dyDescent="0.25">
      <c r="A76" s="28"/>
      <c r="B76" s="28"/>
      <c r="C76" s="22"/>
      <c r="D76" s="188" t="s">
        <v>92</v>
      </c>
      <c r="E76" s="189">
        <v>0</v>
      </c>
      <c r="F76" s="116" t="s">
        <v>53</v>
      </c>
      <c r="G76" s="1"/>
      <c r="H76" s="316"/>
      <c r="I76" s="121" t="e">
        <f>SUM(K71:K77)</f>
        <v>#DIV/0!</v>
      </c>
      <c r="J76" s="120" t="s">
        <v>53</v>
      </c>
      <c r="K76" s="115"/>
      <c r="L76" s="394"/>
      <c r="M76" s="390"/>
      <c r="N76" s="393"/>
      <c r="O76" s="1"/>
    </row>
    <row r="77" spans="1:15" ht="20" customHeight="1" thickBot="1" x14ac:dyDescent="0.25">
      <c r="A77" s="28"/>
      <c r="B77" s="28"/>
      <c r="C77" s="22"/>
      <c r="D77" s="67" t="s">
        <v>82</v>
      </c>
      <c r="E77" s="46">
        <v>0</v>
      </c>
      <c r="F77" s="1"/>
      <c r="G77" s="1"/>
      <c r="H77" s="1"/>
      <c r="I77" s="2"/>
      <c r="J77" s="1"/>
      <c r="K77" s="115"/>
      <c r="L77" s="396"/>
      <c r="M77" s="397"/>
      <c r="N77" s="398"/>
      <c r="O77" s="1"/>
    </row>
    <row r="78" spans="1:15" ht="20" customHeight="1" x14ac:dyDescent="0.2">
      <c r="A78" s="28"/>
      <c r="B78" s="28"/>
      <c r="C78" s="22"/>
      <c r="D78" s="67" t="s">
        <v>84</v>
      </c>
      <c r="E78" s="46">
        <v>0</v>
      </c>
      <c r="F78" s="37"/>
      <c r="G78" s="1"/>
      <c r="H78" s="391"/>
      <c r="I78" s="391"/>
      <c r="J78" s="391"/>
      <c r="K78" s="1"/>
      <c r="L78" s="390"/>
      <c r="M78" s="390"/>
      <c r="N78" s="61"/>
      <c r="O78" s="1"/>
    </row>
    <row r="79" spans="1:15" ht="20" customHeight="1" x14ac:dyDescent="0.2">
      <c r="A79" s="28"/>
      <c r="B79" s="28"/>
      <c r="C79" s="22"/>
      <c r="D79" s="67" t="s">
        <v>66</v>
      </c>
      <c r="E79" s="46">
        <v>0</v>
      </c>
      <c r="F79" s="1"/>
      <c r="G79" s="1"/>
      <c r="H79" s="391"/>
      <c r="I79" s="391"/>
      <c r="J79" s="391"/>
      <c r="K79" s="1"/>
      <c r="L79" s="390"/>
      <c r="M79" s="390"/>
      <c r="N79" s="61"/>
      <c r="O79" s="1"/>
    </row>
    <row r="80" spans="1:15" ht="20" customHeight="1" x14ac:dyDescent="0.2">
      <c r="A80" s="28"/>
      <c r="B80" s="28"/>
      <c r="C80" s="22"/>
      <c r="D80" s="67" t="s">
        <v>93</v>
      </c>
      <c r="E80" s="46">
        <v>0</v>
      </c>
      <c r="F80" s="1"/>
      <c r="G80" s="1"/>
      <c r="H80" s="391"/>
      <c r="I80" s="391"/>
      <c r="J80" s="391"/>
      <c r="K80" s="1"/>
      <c r="L80" s="1"/>
      <c r="M80" s="1"/>
      <c r="N80" s="2"/>
      <c r="O80" s="1"/>
    </row>
    <row r="81" spans="1:15" ht="20" customHeight="1" x14ac:dyDescent="0.2">
      <c r="A81" s="28"/>
      <c r="B81" s="28"/>
      <c r="C81" s="22"/>
      <c r="D81" s="67" t="s">
        <v>94</v>
      </c>
      <c r="E81" s="46">
        <v>0</v>
      </c>
      <c r="F81" s="1"/>
      <c r="G81" s="1"/>
      <c r="H81" s="259"/>
      <c r="I81" s="259"/>
      <c r="J81" s="326"/>
      <c r="K81" s="1"/>
      <c r="L81" s="1"/>
      <c r="M81" s="1"/>
      <c r="N81" s="2"/>
      <c r="O81" s="61"/>
    </row>
    <row r="82" spans="1:15" ht="20" customHeight="1" x14ac:dyDescent="0.2">
      <c r="A82" s="28"/>
      <c r="B82" s="28"/>
      <c r="C82" s="22"/>
      <c r="D82" s="67" t="s">
        <v>28</v>
      </c>
      <c r="E82" s="46">
        <v>0</v>
      </c>
      <c r="F82" s="1"/>
      <c r="G82" s="1"/>
      <c r="H82" s="259"/>
      <c r="I82" s="259"/>
      <c r="J82" s="326"/>
      <c r="K82" s="1"/>
      <c r="L82" s="1"/>
      <c r="M82" s="1"/>
      <c r="N82" s="2"/>
      <c r="O82" s="1"/>
    </row>
    <row r="83" spans="1:15" ht="20" customHeight="1" x14ac:dyDescent="0.2">
      <c r="A83" s="28"/>
      <c r="B83" s="28"/>
      <c r="C83" s="22"/>
      <c r="D83" s="67" t="s">
        <v>65</v>
      </c>
      <c r="E83" s="46">
        <v>0</v>
      </c>
      <c r="F83" s="1"/>
      <c r="G83" s="1"/>
      <c r="H83" s="259"/>
      <c r="I83" s="259"/>
      <c r="J83" s="325"/>
      <c r="K83" s="1"/>
      <c r="L83" s="1"/>
      <c r="M83" s="1"/>
      <c r="N83" s="2"/>
      <c r="O83" s="1"/>
    </row>
    <row r="84" spans="1:15" ht="20" customHeight="1" x14ac:dyDescent="0.2">
      <c r="A84" s="28"/>
      <c r="B84" s="28"/>
      <c r="C84" s="22"/>
      <c r="D84" s="67" t="s">
        <v>44</v>
      </c>
      <c r="E84" s="46">
        <v>0</v>
      </c>
      <c r="F84" s="1"/>
      <c r="G84" s="1"/>
      <c r="H84" s="230"/>
      <c r="I84" s="231"/>
      <c r="J84" s="325"/>
      <c r="K84" s="1"/>
      <c r="L84" s="1"/>
      <c r="M84" s="1"/>
      <c r="N84" s="2"/>
      <c r="O84" s="1"/>
    </row>
    <row r="85" spans="1:15" ht="20" customHeight="1" x14ac:dyDescent="0.25">
      <c r="A85" s="28"/>
      <c r="B85" s="28"/>
      <c r="C85" s="22"/>
      <c r="D85" s="67" t="s">
        <v>141</v>
      </c>
      <c r="E85" s="46">
        <v>0</v>
      </c>
      <c r="F85" s="1"/>
      <c r="G85" s="1"/>
      <c r="H85" s="230"/>
      <c r="I85" s="231"/>
      <c r="J85" s="126"/>
      <c r="K85" s="1"/>
      <c r="L85" s="1"/>
      <c r="M85" s="1"/>
      <c r="N85" s="2"/>
      <c r="O85" s="1"/>
    </row>
    <row r="86" spans="1:15" ht="20" customHeight="1" x14ac:dyDescent="0.25">
      <c r="A86" s="28"/>
      <c r="B86" s="28"/>
      <c r="C86" s="22"/>
      <c r="D86" s="67" t="s">
        <v>111</v>
      </c>
      <c r="E86" s="46">
        <v>0</v>
      </c>
      <c r="F86" s="1"/>
      <c r="G86" s="1"/>
      <c r="H86" s="123"/>
      <c r="I86" s="125"/>
      <c r="J86" s="126"/>
      <c r="K86" s="1"/>
      <c r="L86" s="1"/>
      <c r="M86" s="1"/>
      <c r="N86" s="2"/>
      <c r="O86" s="1"/>
    </row>
    <row r="87" spans="1:15" ht="20" customHeight="1" x14ac:dyDescent="0.25">
      <c r="A87" s="28"/>
      <c r="B87" s="28"/>
      <c r="C87" s="22"/>
      <c r="D87" s="67"/>
      <c r="E87" s="46">
        <v>0</v>
      </c>
      <c r="F87" s="1"/>
      <c r="G87" s="1"/>
      <c r="H87" s="124"/>
      <c r="I87" s="125"/>
      <c r="J87" s="126"/>
      <c r="K87" s="1"/>
      <c r="L87" s="1"/>
      <c r="M87" s="1"/>
      <c r="N87" s="2"/>
      <c r="O87" s="1"/>
    </row>
    <row r="88" spans="1:15" ht="20" customHeight="1" thickBot="1" x14ac:dyDescent="0.3">
      <c r="A88" s="28"/>
      <c r="B88" s="28"/>
      <c r="C88" s="22"/>
      <c r="D88" s="82"/>
      <c r="E88" s="50">
        <v>0</v>
      </c>
      <c r="F88" s="1"/>
      <c r="G88" s="1"/>
      <c r="H88" s="127"/>
      <c r="I88" s="125"/>
      <c r="J88" s="126"/>
      <c r="K88" s="1"/>
      <c r="L88" s="1"/>
      <c r="M88" s="1"/>
      <c r="N88" s="2"/>
      <c r="O88" s="1"/>
    </row>
    <row r="89" spans="1:15" ht="20" customHeight="1" thickBot="1" x14ac:dyDescent="0.3">
      <c r="A89" s="28"/>
      <c r="B89" s="28"/>
      <c r="C89" s="22"/>
      <c r="D89" s="84" t="s">
        <v>19</v>
      </c>
      <c r="E89" s="21">
        <f>SUM(E73:E88)</f>
        <v>0</v>
      </c>
      <c r="F89" s="14" t="e">
        <f>SUM(E89/I2)</f>
        <v>#DIV/0!</v>
      </c>
      <c r="G89" s="1"/>
      <c r="H89" s="127"/>
      <c r="I89" s="125"/>
      <c r="J89" s="126"/>
      <c r="K89" s="1"/>
      <c r="L89" s="1"/>
      <c r="M89" s="6"/>
      <c r="N89" s="2"/>
      <c r="O89" s="43"/>
    </row>
    <row r="90" spans="1:15" ht="20" customHeight="1" x14ac:dyDescent="0.25">
      <c r="A90" s="28"/>
      <c r="B90" s="28"/>
      <c r="C90" s="22"/>
      <c r="G90" s="1"/>
      <c r="H90" s="127"/>
      <c r="I90" s="125"/>
      <c r="J90" s="126"/>
      <c r="K90" s="1"/>
      <c r="L90" s="1"/>
      <c r="M90" s="6"/>
      <c r="N90" s="2"/>
      <c r="O90" s="43"/>
    </row>
  </sheetData>
  <mergeCells count="98">
    <mergeCell ref="P31:U32"/>
    <mergeCell ref="P29:U30"/>
    <mergeCell ref="Q49:R49"/>
    <mergeCell ref="J83:J84"/>
    <mergeCell ref="J81:J82"/>
    <mergeCell ref="M40:N40"/>
    <mergeCell ref="M41:N41"/>
    <mergeCell ref="M43:N43"/>
    <mergeCell ref="L60:N62"/>
    <mergeCell ref="M9:O9"/>
    <mergeCell ref="K18:L18"/>
    <mergeCell ref="H78:J80"/>
    <mergeCell ref="H75:H76"/>
    <mergeCell ref="I75:J75"/>
    <mergeCell ref="H69:J69"/>
    <mergeCell ref="K27:L27"/>
    <mergeCell ref="L55:N55"/>
    <mergeCell ref="N72:N74"/>
    <mergeCell ref="M37:N37"/>
    <mergeCell ref="M46:N46"/>
    <mergeCell ref="N75:N77"/>
    <mergeCell ref="N63:N65"/>
    <mergeCell ref="N66:N68"/>
    <mergeCell ref="N69:N71"/>
    <mergeCell ref="M47:N47"/>
    <mergeCell ref="D21:E21"/>
    <mergeCell ref="K20:N21"/>
    <mergeCell ref="M32:N32"/>
    <mergeCell ref="H35:I35"/>
    <mergeCell ref="M38:N38"/>
    <mergeCell ref="H41:I42"/>
    <mergeCell ref="H44:I46"/>
    <mergeCell ref="F37:F38"/>
    <mergeCell ref="K29:L29"/>
    <mergeCell ref="D45:E45"/>
    <mergeCell ref="K15:L15"/>
    <mergeCell ref="K16:L16"/>
    <mergeCell ref="K17:L17"/>
    <mergeCell ref="K28:L28"/>
    <mergeCell ref="H40:I40"/>
    <mergeCell ref="D2:E2"/>
    <mergeCell ref="D13:E13"/>
    <mergeCell ref="D33:E33"/>
    <mergeCell ref="H22:I22"/>
    <mergeCell ref="H81:I83"/>
    <mergeCell ref="H10:I11"/>
    <mergeCell ref="D72:E72"/>
    <mergeCell ref="H64:H65"/>
    <mergeCell ref="I64:I65"/>
    <mergeCell ref="H52:H53"/>
    <mergeCell ref="I52:I53"/>
    <mergeCell ref="H61:I61"/>
    <mergeCell ref="H62:I63"/>
    <mergeCell ref="H57:I58"/>
    <mergeCell ref="D51:E51"/>
    <mergeCell ref="D65:E65"/>
    <mergeCell ref="H84:H85"/>
    <mergeCell ref="I84:I85"/>
    <mergeCell ref="K3:L3"/>
    <mergeCell ref="K4:L4"/>
    <mergeCell ref="M5:O5"/>
    <mergeCell ref="M6:O6"/>
    <mergeCell ref="M7:O7"/>
    <mergeCell ref="M8:O8"/>
    <mergeCell ref="M10:O10"/>
    <mergeCell ref="L56:N56"/>
    <mergeCell ref="N57:N58"/>
    <mergeCell ref="M48:N48"/>
    <mergeCell ref="M49:N49"/>
    <mergeCell ref="H49:I49"/>
    <mergeCell ref="H50:I51"/>
    <mergeCell ref="P3:T4"/>
    <mergeCell ref="P23:T24"/>
    <mergeCell ref="P25:T26"/>
    <mergeCell ref="P27:T28"/>
    <mergeCell ref="P13:T14"/>
    <mergeCell ref="P15:T16"/>
    <mergeCell ref="P17:T18"/>
    <mergeCell ref="P19:T20"/>
    <mergeCell ref="P21:T22"/>
    <mergeCell ref="P5:T6"/>
    <mergeCell ref="P7:T8"/>
    <mergeCell ref="P9:T10"/>
    <mergeCell ref="P11:T12"/>
    <mergeCell ref="M34:N34"/>
    <mergeCell ref="M39:N39"/>
    <mergeCell ref="Q48:R48"/>
    <mergeCell ref="Q43:R43"/>
    <mergeCell ref="Q44:R44"/>
    <mergeCell ref="Q45:R45"/>
    <mergeCell ref="Q46:R46"/>
    <mergeCell ref="Q47:R47"/>
    <mergeCell ref="Q38:R38"/>
    <mergeCell ref="Q39:R39"/>
    <mergeCell ref="Q40:R40"/>
    <mergeCell ref="Q42:R42"/>
    <mergeCell ref="Q41:R41"/>
    <mergeCell ref="P33:U34"/>
  </mergeCells>
  <pageMargins left="0.7" right="0.7" top="0.75" bottom="0.75" header="0.3" footer="0.3"/>
  <pageSetup scale="42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1B53-F54B-A142-84C1-DA121DA32822}">
  <dimension ref="A1:F60"/>
  <sheetViews>
    <sheetView workbookViewId="0">
      <selection activeCell="E58" sqref="E58"/>
    </sheetView>
  </sheetViews>
  <sheetFormatPr baseColWidth="10" defaultRowHeight="16" x14ac:dyDescent="0.2"/>
  <cols>
    <col min="1" max="1" width="25.33203125" customWidth="1"/>
    <col min="2" max="2" width="19.83203125" customWidth="1"/>
    <col min="3" max="3" width="25.5" customWidth="1"/>
    <col min="4" max="4" width="17.83203125" bestFit="1" customWidth="1"/>
    <col min="5" max="5" width="11.33203125" customWidth="1"/>
  </cols>
  <sheetData>
    <row r="1" spans="1:6" x14ac:dyDescent="0.2">
      <c r="A1" s="28"/>
      <c r="B1" s="28"/>
      <c r="C1" s="28"/>
      <c r="D1" s="28"/>
      <c r="E1" s="28"/>
      <c r="F1" s="28"/>
    </row>
    <row r="2" spans="1:6" x14ac:dyDescent="0.2">
      <c r="A2" s="28"/>
      <c r="B2" s="28"/>
      <c r="C2" s="28"/>
      <c r="D2" s="28"/>
      <c r="E2" s="28"/>
      <c r="F2" s="28"/>
    </row>
    <row r="3" spans="1:6" ht="16" customHeight="1" x14ac:dyDescent="0.2">
      <c r="A3" s="28"/>
      <c r="B3" s="371"/>
      <c r="C3" s="371"/>
      <c r="D3" s="371"/>
      <c r="E3" s="371"/>
      <c r="F3" s="28"/>
    </row>
    <row r="4" spans="1:6" ht="16" customHeight="1" x14ac:dyDescent="0.2">
      <c r="A4" s="28"/>
      <c r="B4" s="371"/>
      <c r="C4" s="371"/>
      <c r="D4" s="371"/>
      <c r="E4" s="371"/>
      <c r="F4" s="28"/>
    </row>
    <row r="5" spans="1:6" ht="16" customHeight="1" thickBot="1" x14ac:dyDescent="0.25">
      <c r="A5" s="28"/>
      <c r="B5" s="371"/>
      <c r="C5" s="371"/>
      <c r="D5" s="371"/>
      <c r="E5" s="371"/>
      <c r="F5" s="28"/>
    </row>
    <row r="6" spans="1:6" ht="17" customHeight="1" x14ac:dyDescent="0.2">
      <c r="A6" s="28"/>
      <c r="B6" s="372" t="s">
        <v>160</v>
      </c>
      <c r="C6" s="373"/>
      <c r="D6" s="374"/>
      <c r="E6" s="28"/>
      <c r="F6" s="28"/>
    </row>
    <row r="7" spans="1:6" ht="17" customHeight="1" x14ac:dyDescent="0.2">
      <c r="A7" s="28"/>
      <c r="B7" s="375"/>
      <c r="C7" s="376"/>
      <c r="D7" s="377"/>
      <c r="E7" s="28"/>
      <c r="F7" s="28"/>
    </row>
    <row r="8" spans="1:6" ht="17" customHeight="1" thickBot="1" x14ac:dyDescent="0.25">
      <c r="A8" s="28"/>
      <c r="B8" s="378"/>
      <c r="C8" s="379"/>
      <c r="D8" s="380"/>
      <c r="E8" s="28"/>
      <c r="F8" s="28"/>
    </row>
    <row r="9" spans="1:6" ht="16" customHeight="1" thickBot="1" x14ac:dyDescent="0.25">
      <c r="A9" s="28"/>
      <c r="B9" s="28"/>
      <c r="C9" s="28"/>
      <c r="D9" s="28"/>
      <c r="E9" s="28"/>
      <c r="F9" s="28"/>
    </row>
    <row r="10" spans="1:6" ht="17" customHeight="1" x14ac:dyDescent="0.2">
      <c r="A10" s="28"/>
      <c r="B10" s="331" t="s">
        <v>173</v>
      </c>
      <c r="C10" s="343"/>
      <c r="D10" s="369">
        <v>1236</v>
      </c>
      <c r="E10" s="28"/>
      <c r="F10" s="28"/>
    </row>
    <row r="11" spans="1:6" ht="16" customHeight="1" thickBot="1" x14ac:dyDescent="0.25">
      <c r="A11" s="28"/>
      <c r="B11" s="334"/>
      <c r="C11" s="344"/>
      <c r="D11" s="386"/>
      <c r="E11" s="28"/>
      <c r="F11" s="28"/>
    </row>
    <row r="12" spans="1:6" ht="17" customHeight="1" x14ac:dyDescent="0.2">
      <c r="A12" s="28"/>
      <c r="B12" s="331" t="s">
        <v>174</v>
      </c>
      <c r="C12" s="343"/>
      <c r="D12" s="369">
        <v>3000</v>
      </c>
      <c r="E12" s="28"/>
      <c r="F12" s="28"/>
    </row>
    <row r="13" spans="1:6" ht="21" customHeight="1" thickBot="1" x14ac:dyDescent="0.25">
      <c r="A13" s="28"/>
      <c r="B13" s="334"/>
      <c r="C13" s="344"/>
      <c r="D13" s="381"/>
      <c r="E13" s="28"/>
      <c r="F13" s="28"/>
    </row>
    <row r="14" spans="1:6" ht="27" thickBot="1" x14ac:dyDescent="0.35">
      <c r="A14" s="28"/>
      <c r="B14" s="161"/>
      <c r="C14" s="162"/>
      <c r="D14" s="163"/>
      <c r="E14" s="28"/>
      <c r="F14" s="28"/>
    </row>
    <row r="15" spans="1:6" x14ac:dyDescent="0.2">
      <c r="A15" s="28"/>
      <c r="B15" s="331" t="s">
        <v>175</v>
      </c>
      <c r="C15" s="343"/>
      <c r="D15" s="387">
        <v>5000</v>
      </c>
      <c r="E15" s="28"/>
      <c r="F15" s="28"/>
    </row>
    <row r="16" spans="1:6" ht="17" thickBot="1" x14ac:dyDescent="0.25">
      <c r="A16" s="28"/>
      <c r="B16" s="334"/>
      <c r="C16" s="344"/>
      <c r="D16" s="388"/>
      <c r="E16" s="28"/>
      <c r="F16" s="28"/>
    </row>
    <row r="17" spans="1:6" ht="17" thickBot="1" x14ac:dyDescent="0.25">
      <c r="A17" s="28"/>
      <c r="B17" s="164"/>
      <c r="C17" s="165"/>
      <c r="D17" s="166"/>
      <c r="E17" s="28"/>
      <c r="F17" s="28"/>
    </row>
    <row r="18" spans="1:6" x14ac:dyDescent="0.2">
      <c r="A18" s="28"/>
      <c r="B18" s="382" t="s">
        <v>176</v>
      </c>
      <c r="C18" s="383"/>
      <c r="D18" s="369">
        <f>SUM(D10+D12+D15)</f>
        <v>9236</v>
      </c>
      <c r="E18" s="28"/>
      <c r="F18" s="28"/>
    </row>
    <row r="19" spans="1:6" ht="16" customHeight="1" thickBot="1" x14ac:dyDescent="0.25">
      <c r="A19" s="28"/>
      <c r="B19" s="384"/>
      <c r="C19" s="385"/>
      <c r="D19" s="381"/>
      <c r="E19" s="28"/>
      <c r="F19" s="28"/>
    </row>
    <row r="20" spans="1:6" ht="17" customHeight="1" thickBot="1" x14ac:dyDescent="0.3">
      <c r="A20" s="28"/>
      <c r="B20" s="167"/>
      <c r="C20" s="167"/>
      <c r="D20" s="28"/>
      <c r="E20" s="28"/>
      <c r="F20" s="28"/>
    </row>
    <row r="21" spans="1:6" ht="16" customHeight="1" x14ac:dyDescent="0.2">
      <c r="A21" s="28"/>
      <c r="B21" s="363" t="s">
        <v>177</v>
      </c>
      <c r="C21" s="364"/>
      <c r="D21" s="367">
        <v>8235</v>
      </c>
      <c r="E21" s="28"/>
      <c r="F21" s="28"/>
    </row>
    <row r="22" spans="1:6" ht="16" customHeight="1" thickBot="1" x14ac:dyDescent="0.25">
      <c r="A22" s="28"/>
      <c r="B22" s="365"/>
      <c r="C22" s="366"/>
      <c r="D22" s="368"/>
      <c r="E22" s="28"/>
      <c r="F22" s="28"/>
    </row>
    <row r="23" spans="1:6" ht="16" customHeight="1" thickBot="1" x14ac:dyDescent="0.3">
      <c r="A23" s="28"/>
      <c r="B23" s="167"/>
      <c r="C23" s="167"/>
      <c r="D23" s="28"/>
      <c r="E23" s="28"/>
      <c r="F23" s="28"/>
    </row>
    <row r="24" spans="1:6" ht="16" customHeight="1" x14ac:dyDescent="0.2">
      <c r="A24" s="28"/>
      <c r="B24" s="331" t="s">
        <v>161</v>
      </c>
      <c r="C24" s="343"/>
      <c r="D24" s="369">
        <f>SUM(F24-D34-D36-D38)</f>
        <v>1001</v>
      </c>
      <c r="E24" s="347">
        <f>SUM(D24/F24)</f>
        <v>1</v>
      </c>
      <c r="F24" s="168">
        <f>SUM(D18-D21)</f>
        <v>1001</v>
      </c>
    </row>
    <row r="25" spans="1:6" ht="16" customHeight="1" thickBot="1" x14ac:dyDescent="0.25">
      <c r="A25" s="28"/>
      <c r="B25" s="334"/>
      <c r="C25" s="344"/>
      <c r="D25" s="370"/>
      <c r="E25" s="348"/>
      <c r="F25" s="28"/>
    </row>
    <row r="26" spans="1:6" x14ac:dyDescent="0.2">
      <c r="A26" s="28"/>
      <c r="B26" s="350" t="s">
        <v>162</v>
      </c>
      <c r="C26" s="351"/>
      <c r="D26" s="354">
        <f>(E57)</f>
        <v>5441.9769529984178</v>
      </c>
      <c r="E26" s="169" t="s">
        <v>163</v>
      </c>
      <c r="F26" s="28"/>
    </row>
    <row r="27" spans="1:6" ht="17" thickBot="1" x14ac:dyDescent="0.25">
      <c r="A27" s="28"/>
      <c r="B27" s="352"/>
      <c r="C27" s="353"/>
      <c r="D27" s="355"/>
      <c r="E27" s="170">
        <f>(E54)</f>
        <v>2047</v>
      </c>
      <c r="F27" s="28"/>
    </row>
    <row r="28" spans="1:6" x14ac:dyDescent="0.2">
      <c r="A28" s="28"/>
      <c r="B28" s="356" t="s">
        <v>164</v>
      </c>
      <c r="C28" s="356"/>
      <c r="D28" s="356"/>
      <c r="E28" s="356"/>
      <c r="F28" s="28"/>
    </row>
    <row r="29" spans="1:6" x14ac:dyDescent="0.2">
      <c r="A29" s="28"/>
      <c r="B29" s="28"/>
      <c r="C29" s="28"/>
      <c r="D29" s="28"/>
      <c r="E29" s="28"/>
      <c r="F29" s="28"/>
    </row>
    <row r="30" spans="1:6" ht="17" thickBot="1" x14ac:dyDescent="0.25">
      <c r="A30" s="28"/>
      <c r="B30" s="28"/>
      <c r="C30" s="28"/>
      <c r="D30" s="28"/>
      <c r="E30" s="28"/>
      <c r="F30" s="28"/>
    </row>
    <row r="31" spans="1:6" ht="16" customHeight="1" x14ac:dyDescent="0.2">
      <c r="A31" s="28"/>
      <c r="B31" s="357" t="s">
        <v>172</v>
      </c>
      <c r="C31" s="358"/>
      <c r="D31" s="358"/>
      <c r="E31" s="359"/>
      <c r="F31" s="28"/>
    </row>
    <row r="32" spans="1:6" ht="17" customHeight="1" thickBot="1" x14ac:dyDescent="0.25">
      <c r="A32" s="28"/>
      <c r="B32" s="360"/>
      <c r="C32" s="361"/>
      <c r="D32" s="361"/>
      <c r="E32" s="362"/>
      <c r="F32" s="28"/>
    </row>
    <row r="33" spans="1:6" ht="17" customHeight="1" thickBot="1" x14ac:dyDescent="0.25">
      <c r="A33" s="28"/>
      <c r="B33" s="28"/>
      <c r="C33" s="28"/>
      <c r="D33" s="28"/>
      <c r="E33" s="28"/>
      <c r="F33" s="28"/>
    </row>
    <row r="34" spans="1:6" ht="17" customHeight="1" x14ac:dyDescent="0.2">
      <c r="A34" s="28"/>
      <c r="B34" s="331" t="s">
        <v>165</v>
      </c>
      <c r="C34" s="343"/>
      <c r="D34" s="345">
        <v>0</v>
      </c>
      <c r="E34" s="347">
        <f>SUM(D34/F24)</f>
        <v>0</v>
      </c>
      <c r="F34" s="28"/>
    </row>
    <row r="35" spans="1:6" ht="17" thickBot="1" x14ac:dyDescent="0.25">
      <c r="A35" s="28"/>
      <c r="B35" s="334"/>
      <c r="C35" s="344"/>
      <c r="D35" s="346"/>
      <c r="E35" s="348"/>
      <c r="F35" s="28"/>
    </row>
    <row r="36" spans="1:6" ht="17" customHeight="1" x14ac:dyDescent="0.2">
      <c r="A36" s="28"/>
      <c r="B36" s="331" t="s">
        <v>166</v>
      </c>
      <c r="C36" s="343"/>
      <c r="D36" s="345">
        <v>0</v>
      </c>
      <c r="E36" s="347">
        <f>SUM(D36/F24)</f>
        <v>0</v>
      </c>
      <c r="F36" s="28"/>
    </row>
    <row r="37" spans="1:6" ht="17" customHeight="1" thickBot="1" x14ac:dyDescent="0.25">
      <c r="A37" s="28"/>
      <c r="B37" s="334"/>
      <c r="C37" s="344"/>
      <c r="D37" s="346"/>
      <c r="E37" s="348"/>
      <c r="F37" s="28"/>
    </row>
    <row r="38" spans="1:6" ht="17" customHeight="1" x14ac:dyDescent="0.2">
      <c r="A38" s="28"/>
      <c r="B38" s="331" t="s">
        <v>44</v>
      </c>
      <c r="C38" s="343"/>
      <c r="D38" s="345">
        <v>0</v>
      </c>
      <c r="E38" s="347">
        <f>SUM(D38/F24)</f>
        <v>0</v>
      </c>
      <c r="F38" s="28"/>
    </row>
    <row r="39" spans="1:6" ht="16" customHeight="1" thickBot="1" x14ac:dyDescent="0.25">
      <c r="A39" s="28"/>
      <c r="B39" s="334"/>
      <c r="C39" s="344"/>
      <c r="D39" s="349"/>
      <c r="E39" s="348"/>
      <c r="F39" s="28"/>
    </row>
    <row r="40" spans="1:6" ht="17" customHeight="1" x14ac:dyDescent="0.2">
      <c r="A40" s="28"/>
      <c r="B40" s="329" t="s">
        <v>167</v>
      </c>
      <c r="C40" s="329"/>
      <c r="D40" s="329"/>
      <c r="E40" s="329"/>
      <c r="F40" s="28"/>
    </row>
    <row r="41" spans="1:6" ht="17" customHeight="1" thickBot="1" x14ac:dyDescent="0.25">
      <c r="A41" s="28"/>
      <c r="B41" s="330"/>
      <c r="C41" s="330"/>
      <c r="D41" s="330"/>
      <c r="E41" s="330"/>
      <c r="F41" s="28"/>
    </row>
    <row r="42" spans="1:6" ht="16" customHeight="1" x14ac:dyDescent="0.2">
      <c r="A42" s="28"/>
      <c r="B42" s="331" t="s">
        <v>168</v>
      </c>
      <c r="C42" s="332"/>
      <c r="D42" s="333"/>
      <c r="E42" s="337">
        <f>SUM(E24+E34+E36+E38)</f>
        <v>1</v>
      </c>
      <c r="F42" s="28"/>
    </row>
    <row r="43" spans="1:6" ht="17" thickBot="1" x14ac:dyDescent="0.25">
      <c r="A43" s="28"/>
      <c r="B43" s="334"/>
      <c r="C43" s="335"/>
      <c r="D43" s="336"/>
      <c r="E43" s="338"/>
      <c r="F43" s="28"/>
    </row>
    <row r="44" spans="1:6" ht="16" customHeight="1" x14ac:dyDescent="0.2">
      <c r="A44" s="28"/>
      <c r="B44" s="28"/>
      <c r="C44" s="28"/>
      <c r="D44" s="28"/>
      <c r="E44" s="28"/>
      <c r="F44" s="28"/>
    </row>
    <row r="45" spans="1:6" ht="16" customHeight="1" x14ac:dyDescent="0.2">
      <c r="A45" s="28"/>
      <c r="B45" s="339" t="s">
        <v>169</v>
      </c>
      <c r="C45" s="339"/>
      <c r="D45" s="341">
        <f>(D24)</f>
        <v>1001</v>
      </c>
      <c r="E45" s="171" t="s">
        <v>138</v>
      </c>
      <c r="F45" s="172"/>
    </row>
    <row r="46" spans="1:6" ht="20" thickBot="1" x14ac:dyDescent="0.25">
      <c r="A46" s="28"/>
      <c r="B46" s="340"/>
      <c r="C46" s="340"/>
      <c r="D46" s="342"/>
      <c r="E46" s="171" t="s">
        <v>170</v>
      </c>
      <c r="F46" s="172"/>
    </row>
    <row r="47" spans="1:6" x14ac:dyDescent="0.2">
      <c r="A47" s="28"/>
      <c r="B47" s="28"/>
      <c r="C47" s="28"/>
      <c r="D47" s="28"/>
      <c r="E47" s="173" t="s">
        <v>139</v>
      </c>
      <c r="F47" s="173"/>
    </row>
    <row r="48" spans="1:6" x14ac:dyDescent="0.2">
      <c r="A48" s="28"/>
      <c r="B48" s="174"/>
      <c r="C48" s="174"/>
      <c r="D48" s="174"/>
      <c r="E48" s="175" t="s">
        <v>140</v>
      </c>
      <c r="F48" s="175"/>
    </row>
    <row r="51" spans="4:5" ht="17" thickBot="1" x14ac:dyDescent="0.25"/>
    <row r="52" spans="4:5" x14ac:dyDescent="0.2">
      <c r="D52" s="176" t="s">
        <v>142</v>
      </c>
      <c r="E52" s="177">
        <f>(D24)</f>
        <v>1001</v>
      </c>
    </row>
    <row r="53" spans="4:5" x14ac:dyDescent="0.2">
      <c r="D53" s="178" t="s">
        <v>143</v>
      </c>
      <c r="E53" s="122">
        <v>0.08</v>
      </c>
    </row>
    <row r="54" spans="4:5" x14ac:dyDescent="0.2">
      <c r="D54" s="178" t="s">
        <v>171</v>
      </c>
      <c r="E54" s="179">
        <f>SUM(E58+E59)</f>
        <v>2047</v>
      </c>
    </row>
    <row r="55" spans="4:5" x14ac:dyDescent="0.2">
      <c r="D55" s="178" t="s">
        <v>144</v>
      </c>
      <c r="E55" s="179">
        <f>SUM(E54-E60)</f>
        <v>22</v>
      </c>
    </row>
    <row r="56" spans="4:5" x14ac:dyDescent="0.2">
      <c r="D56" s="178" t="s">
        <v>145</v>
      </c>
      <c r="E56" s="179">
        <v>1</v>
      </c>
    </row>
    <row r="57" spans="4:5" ht="17" thickBot="1" x14ac:dyDescent="0.25">
      <c r="D57" s="180" t="s">
        <v>146</v>
      </c>
      <c r="E57" s="181">
        <f>FV(E53/E56,E55*E56,0,-E52)</f>
        <v>5441.9769529984178</v>
      </c>
    </row>
    <row r="58" spans="4:5" x14ac:dyDescent="0.2">
      <c r="D58" s="182" t="s">
        <v>147</v>
      </c>
      <c r="E58" s="183">
        <v>1987</v>
      </c>
    </row>
    <row r="59" spans="4:5" x14ac:dyDescent="0.2">
      <c r="D59" s="184" t="s">
        <v>148</v>
      </c>
      <c r="E59" s="185">
        <v>60</v>
      </c>
    </row>
    <row r="60" spans="4:5" ht="17" thickBot="1" x14ac:dyDescent="0.25">
      <c r="D60" s="186" t="s">
        <v>149</v>
      </c>
      <c r="E60" s="187">
        <v>2025</v>
      </c>
    </row>
  </sheetData>
  <mergeCells count="33">
    <mergeCell ref="B3:E5"/>
    <mergeCell ref="B6:D8"/>
    <mergeCell ref="D18:D19"/>
    <mergeCell ref="B18:C19"/>
    <mergeCell ref="B10:C11"/>
    <mergeCell ref="D10:D11"/>
    <mergeCell ref="B12:C13"/>
    <mergeCell ref="D12:D13"/>
    <mergeCell ref="B15:C16"/>
    <mergeCell ref="D15:D16"/>
    <mergeCell ref="B21:C22"/>
    <mergeCell ref="D21:D22"/>
    <mergeCell ref="B24:C25"/>
    <mergeCell ref="D24:D25"/>
    <mergeCell ref="E24:E25"/>
    <mergeCell ref="B26:C27"/>
    <mergeCell ref="D26:D27"/>
    <mergeCell ref="B28:E28"/>
    <mergeCell ref="B31:E32"/>
    <mergeCell ref="B34:C35"/>
    <mergeCell ref="D34:D35"/>
    <mergeCell ref="E34:E35"/>
    <mergeCell ref="B36:C37"/>
    <mergeCell ref="D36:D37"/>
    <mergeCell ref="E36:E37"/>
    <mergeCell ref="B38:C39"/>
    <mergeCell ref="D38:D39"/>
    <mergeCell ref="E38:E39"/>
    <mergeCell ref="B40:E41"/>
    <mergeCell ref="B42:D43"/>
    <mergeCell ref="E42:E43"/>
    <mergeCell ref="B45:C46"/>
    <mergeCell ref="D45:D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Maximizer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Ari Wagner</cp:lastModifiedBy>
  <cp:lastPrinted>2021-11-12T19:01:25Z</cp:lastPrinted>
  <dcterms:created xsi:type="dcterms:W3CDTF">2020-12-30T15:49:19Z</dcterms:created>
  <dcterms:modified xsi:type="dcterms:W3CDTF">2025-12-17T15:47:12Z</dcterms:modified>
</cp:coreProperties>
</file>